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665299f9f849bb" /></Relationships>
</file>

<file path=xl/workbook.xml><?xml version="1.0" encoding="utf-8"?>
<x:workbook xmlns:x="http://schemas.openxmlformats.org/spreadsheetml/2006/main">
  <x:sheets>
    <x:sheet xmlns:r="http://schemas.openxmlformats.org/officeDocument/2006/relationships" name="Summary" sheetId="1" r:id="Ra6cdf7bf455a4458"/>
    <x:sheet xmlns:r="http://schemas.openxmlformats.org/officeDocument/2006/relationships" name="Chemical_Rule_Review" sheetId="2" r:id="Reb13be5f6af644d0"/>
    <x:sheet xmlns:r="http://schemas.openxmlformats.org/officeDocument/2006/relationships" name="Policy_Review" sheetId="3" r:id="R494d43d887e647bf"/>
    <x:sheet xmlns:r="http://schemas.openxmlformats.org/officeDocument/2006/relationships" name="Source_Registry" sheetId="4" r:id="R89e2edf05bbc4595"/>
    <x:sheet xmlns:r="http://schemas.openxmlformats.org/officeDocument/2006/relationships" name="Instructions" sheetId="5" r:id="Rc76c827df1494f75"/>
    <x:sheet xmlns:r="http://schemas.openxmlformats.org/officeDocument/2006/relationships" name="MVP_Final_Review" sheetId="6" r:id="R77ea490ab415424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6"/>
      <x:color rgb="FFFFFFFF"/>
      <x:name val="Carlito"/>
    </x:font>
    <x:font>
      <x:b/>
      <x:sz val="11"/>
      <x:color rgb="FFFFFFFF"/>
      <x:name val="Carlito"/>
    </x:font>
    <x:font>
      <x:b/>
      <x:sz val="11"/>
      <x:color rgb="FF17365D"/>
      <x:name val="Carlito"/>
    </x:font>
    <x:font>
      <x:b/>
      <x:sz val="11"/>
      <x:color rgb="FF375623"/>
      <x:name val="Carlito"/>
    </x:font>
    <x:font>
      <x:b/>
      <x:sz val="11"/>
      <x:color rgb="FF7F6000"/>
      <x:name val="Carlito"/>
    </x:font>
  </x:fonts>
  <x:fills count="11">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2F75B5"/>
      </x:patternFill>
    </x:fill>
    <x:fill>
      <x:patternFill patternType="solid">
        <x:fgColor rgb="FF70AD47"/>
      </x:patternFill>
    </x:fill>
    <x:fill>
      <x:patternFill patternType="solid">
        <x:fgColor rgb="FFC65911"/>
      </x:patternFill>
    </x:fill>
    <x:fill>
      <x:patternFill patternType="solid">
        <x:fgColor rgb="FFFFF2CC"/>
      </x:patternFill>
    </x:fill>
  </x:fills>
  <x:borders count="2">
    <x:border/>
    <x:border/>
  </x:borders>
  <x:cellStyleXfs count="1">
    <x:xf numFmtId="0" fontId="0" fillId="0" borderId="0"/>
  </x:cellStyleXfs>
  <x:cellXfs count="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left" vertic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0" fillId="7" borderId="0" xfId="0" applyNumberFormat="1" applyFont="1" applyFill="1" applyBorder="1"/>
    <x:xf numFmtId="0" fontId="2" fillId="7"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1" fillId="6" borderId="0" xfId="0" applyNumberFormat="1" applyFont="1" applyFill="1" applyBorder="1" applyAlignment="1">
      <x:alignment vertical="center" wrapText="1"/>
    </x:xf>
    <x:xf numFmtId="0" fontId="2" fillId="7"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9" borderId="0" xfId="0" applyNumberFormat="1" applyFont="1" applyFill="1" applyBorder="1" applyAlignment="1">
      <x:alignment wrapText="1"/>
    </x:xf>
  </x:cellXfs>
  <x:cellStyles count="1">
    <x:cellStyle name="Normal" xfId="0"/>
  </x:cellStyles>
  <x:dxfs count="3">
    <x:dxf>
      <x:fill>
        <x:patternFill>
          <x:bgColor rgb="FFE2F0D9"/>
        </x:patternFill>
      </x:fill>
    </x:dxf>
    <x:dxf>
      <x:fill>
        <x:patternFill>
          <x:bgColor rgb="FFFCE4D6"/>
        </x:patternFill>
      </x:fill>
    </x:dxf>
    <x:dxf>
      <x:font>
        <x:b/>
      </x:font>
      <x:fill>
        <x:patternFill>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143fb5ced244e0" /><Relationship Type="http://schemas.openxmlformats.org/officeDocument/2006/relationships/theme" Target="/xl/theme/theme1.xml" Id="R4f1f503b860a4ff6" /><Relationship Type="http://schemas.microsoft.com/office/2022/11/relationships/FeaturePropertyBag" Target="/xl/featurePropertyBag/featurePropertyBag.xml" Id="R007669b38e884b00" /><Relationship Type="http://schemas.openxmlformats.org/officeDocument/2006/relationships/sharedStrings" Target="/xl/sharedStrings.xml" Id="R7832b0a013f84ad4" /><Relationship Type="http://schemas.openxmlformats.org/officeDocument/2006/relationships/worksheet" Target="/xl/worksheets/sheet1.xml" Id="Ra6cdf7bf455a4458" /><Relationship Type="http://schemas.openxmlformats.org/officeDocument/2006/relationships/worksheet" Target="/xl/worksheets/sheet2.xml" Id="Reb13be5f6af644d0" /><Relationship Type="http://schemas.openxmlformats.org/officeDocument/2006/relationships/worksheet" Target="/xl/worksheets/sheet3.xml" Id="R494d43d887e647bf" /><Relationship Type="http://schemas.openxmlformats.org/officeDocument/2006/relationships/worksheet" Target="/xl/worksheets/sheet4.xml" Id="R89e2edf05bbc4595" /><Relationship Type="http://schemas.openxmlformats.org/officeDocument/2006/relationships/worksheet" Target="/xl/worksheets/sheet5.xml" Id="Rc76c827df1494f75" /><Relationship Type="http://schemas.openxmlformats.org/officeDocument/2006/relationships/worksheet" Target="/xl/worksheets/sheet6.xml" Id="R77ea490ab415424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hemicalRuleReviewTable" displayName="ChemicalRuleReviewTable" ref="A1:Y17" headerRowCount="1" totalsRowCount="0" totalsRowShown="0">
  <x:tableColumns count="25">
    <x:tableColumn id="1" name="Candidate Rule ID"/>
    <x:tableColumn id="2" name="Disease Code"/>
    <x:tableColumn id="3" name="Disease Name VI"/>
    <x:tableColumn id="4" name="Crop"/>
    <x:tableColumn id="5" name="Registered Target"/>
    <x:tableColumn id="6" name="Product"/>
    <x:tableColumn id="7" name="Active Ingredient"/>
    <x:tableColumn id="8" name="Concentration"/>
    <x:tableColumn id="9" name="Dose Min (source)"/>
    <x:tableColumn id="10" name="Dose Max (source)"/>
    <x:tableColumn id="11" name="Dose Unit"/>
    <x:tableColumn id="12" name="PHI Days (source)"/>
    <x:tableColumn id="13" name="Quantitative Status"/>
    <x:tableColumn id="14" name="Mapping Status"/>
    <x:tableColumn id="15" name="Source IDs"/>
    <x:tableColumn id="16" name="Current Blockers"/>
    <x:tableColumn id="17" name="Agronomist Decision"/>
    <x:tableColumn id="18" name="Approved Target"/>
    <x:tableColumn id="19" name="Approved Dose Min"/>
    <x:tableColumn id="20" name="Approved Dose Max"/>
    <x:tableColumn id="21" name="Approved PHI Days"/>
    <x:tableColumn id="22" name="Reviewer"/>
    <x:tableColumn id="23" name="Review Date"/>
    <x:tableColumn id="24" name="Agronomist Notes"/>
    <x:tableColumn id="25" name="Promotion Gate"/>
  </x:tableColumns>
  <x:tableStyleInfo name="TableStyleMedium2" showFirstColumn="0" showLastColumn="0" showRowStripes="1" showColumnStripes="0"/>
</x:table>
</file>

<file path=xl/tables/table2.xml><?xml version="1.0" encoding="utf-8"?>
<x:table xmlns:x="http://schemas.openxmlformats.org/spreadsheetml/2006/main" id="2" name="PolicyReviewTable" displayName="PolicyReviewTable" ref="A1:M14" headerRowCount="1" totalsRowCount="0" totalsRowShown="0">
  <x:tableColumns count="13">
    <x:tableColumn id="1" name="Policy ID"/>
    <x:tableColumn id="2" name="Disease Code"/>
    <x:tableColumn id="3" name="Disease Name VI"/>
    <x:tableColumn id="4" name="Management Status"/>
    <x:tableColumn id="5" name="Direct Treatment Allowed"/>
    <x:tableColumn id="6" name="Chemical Rule Scope"/>
    <x:tableColumn id="7" name="Source IDs"/>
    <x:tableColumn id="8" name="Evidence Note"/>
    <x:tableColumn id="9" name="Agronomist Decision"/>
    <x:tableColumn id="10" name="Reviewer"/>
    <x:tableColumn id="11" name="Review Date"/>
    <x:tableColumn id="12" name="Agronomist Notes"/>
    <x:tableColumn id="13" name="Policy Gate"/>
  </x:tableColumns>
  <x:tableStyleInfo name="TableStyleMedium2" showFirstColumn="0" showLastColumn="0" showRowStripes="1" showColumnStripes="0"/>
</x:table>
</file>

<file path=xl/tables/table3.xml><?xml version="1.0" encoding="utf-8"?>
<x:table xmlns:x="http://schemas.openxmlformats.org/spreadsheetml/2006/main" id="3" name="SourceRegistryTable" displayName="SourceRegistryTable" ref="A1:H38" headerRowCount="1" totalsRowCount="0" totalsRowShown="0">
  <x:tableColumns count="8">
    <x:tableColumn id="1" name="Source ID"/>
    <x:tableColumn id="2" name="Title"/>
    <x:tableColumn id="3" name="Organization"/>
    <x:tableColumn id="4" name="Source Type"/>
    <x:tableColumn id="5" name="Authority Level"/>
    <x:tableColumn id="6" name="URL"/>
    <x:tableColumn id="7" name="Recommended Use"/>
    <x:tableColumn id="8" name="Accessed 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881ebcc7cb340a6" /></Relationships>
</file>

<file path=xl/worksheets/_rels/sheet3.xml.rels>&#65279;<?xml version="1.0" encoding="utf-8"?><Relationships xmlns="http://schemas.openxmlformats.org/package/2006/relationships"><Relationship Type="http://schemas.openxmlformats.org/officeDocument/2006/relationships/table" Target="/xl/tables/table2.xml" Id="R2969782c30d8466a" /></Relationships>
</file>

<file path=xl/worksheets/_rels/sheet4.xml.rels>&#65279;<?xml version="1.0" encoding="utf-8"?><Relationships xmlns="http://schemas.openxmlformats.org/package/2006/relationships"><Relationship Type="http://schemas.openxmlformats.org/officeDocument/2006/relationships/table" Target="/xl/tables/table3.xml" Id="Re82c98b346dd4948" /></Relationships>
</file>

<file path=xl/worksheets/sheet1.xml><?xml version="1.0" encoding="utf-8"?>
<x:worksheet xmlns:x="http://schemas.openxmlformats.org/spreadsheetml/2006/main">
  <x:sheetFormatPr defaultRowHeight="15"/>
  <x:cols>
    <x:col min="1" max="1" width="20" hidden="0" customWidth="1"/>
    <x:col min="2" max="2" width="38" hidden="0" customWidth="1"/>
    <x:col min="4" max="4" width="36" hidden="0" customWidth="1"/>
    <x:col min="5" max="5" width="12" hidden="0" customWidth="1"/>
  </x:cols>
  <x:sheetData>
    <x:row r="1" ht="19.200000762939453" hidden="0" customHeight="1">
      <x:c r="A1" s="5" t="str">
        <x:v>DX-Farm — Agronomist Review Package (Stage 3)</x:v>
      </x:c>
      <x:c r="B1" s="5"/>
      <x:c r="C1" s="5"/>
      <x:c r="D1" s="5"/>
      <x:c r="E1" s="5"/>
      <x:c r="F1" s="5"/>
      <x:c r="G1" s="5"/>
      <x:c r="H1" s="5"/>
    </x:row>
    <x:row r="2"/>
    <x:row r="3" ht="26.399999618530273" hidden="0" customHeight="1">
      <x:c r="A3" s="14" t="str">
        <x:v>KPI</x:v>
      </x:c>
      <x:c r="B3" s="14" t="str">
        <x:v>Value</x:v>
      </x:c>
      <x:c r="D3" s="14" t="str">
        <x:v>Support Status</x:v>
      </x:c>
      <x:c r="E3" s="14" t="str">
        <x:v>Count</x:v>
      </x:c>
    </x:row>
    <x:row r="4" ht="15" hidden="0" customHeight="1">
      <x:c r="A4" t="str">
        <x:v>Chemical rule candidates</x:v>
      </x:c>
      <x:c r="B4" t="n">
        <x:v>16</x:v>
      </x:c>
      <x:c r="D4" t="str">
        <x:v>PARTIAL_CANDIDATE_NEEDS_REVIEW</x:v>
      </x:c>
      <x:c r="E4" t="n">
        <x:v>3</x:v>
      </x:c>
    </x:row>
    <x:row r="5" ht="15" hidden="0" customHeight="1">
      <x:c r="A5" t="str">
        <x:v>Disease management policies</x:v>
      </x:c>
      <x:c r="B5" t="n">
        <x:v>13</x:v>
      </x:c>
      <x:c r="D5" t="str">
        <x:v>PEST_PATH_NEEDS_REVIEW</x:v>
      </x:c>
      <x:c r="E5" t="n">
        <x:v>1</x:v>
      </x:c>
    </x:row>
    <x:row r="6" ht="15" hidden="0" customHeight="1">
      <x:c r="A6" t="str">
        <x:v>Pesticide candidates</x:v>
      </x:c>
      <x:c r="B6" t="n">
        <x:v>8</x:v>
      </x:c>
      <x:c r="D6" t="str">
        <x:v>SAFE_NON_CURATIVE_POLICY</x:v>
      </x:c>
      <x:c r="E6" t="n">
        <x:v>4</x:v>
      </x:c>
    </x:row>
    <x:row r="7" ht="15" hidden="0" customHeight="1">
      <x:c r="A7" t="str">
        <x:v>Source registry records</x:v>
      </x:c>
      <x:c r="B7" t="n">
        <x:v>37</x:v>
      </x:c>
      <x:c r="D7" t="str">
        <x:v>SAFE_RAG_ONLY_FALLBACK</x:v>
      </x:c>
      <x:c r="E7" t="n">
        <x:v>9</x:v>
      </x:c>
    </x:row>
    <x:row r="8" ht="15" hidden="0" customHeight="1">
      <x:c r="A8" t="str">
        <x:v>CV disease records</x:v>
      </x:c>
      <x:c r="B8" t="n">
        <x:v>38</x:v>
      </x:c>
      <x:c r="D8" t="str">
        <x:v>STRONG_CANDIDATE_NEEDS_REVIEW</x:v>
      </x:c>
      <x:c r="E8" t="n">
        <x:v>9</x:v>
      </x:c>
    </x:row>
    <x:row r="9"/>
    <x:row r="10" ht="26.399999618530273" hidden="0" customHeight="1">
      <x:c r="A10" s="24" t="str">
        <x:v>Mục tiêu: kỹ sư nông nghiệp duyệt mapping CV class ↔ tên bệnh đăng ký Việt Nam và xác nhận dữ liệu định lượng trước khi promote sang final seed.</x:v>
      </x:c>
      <x:c r="B10" s="24"/>
      <x:c r="C10" s="24"/>
      <x:c r="D10" s="24"/>
      <x:c r="E10" s="24"/>
      <x:c r="F10" s="24"/>
      <x:c r="G10" s="24"/>
      <x:c r="H10" s="24"/>
    </x:row>
    <x:row r="11"/>
    <x:row r="12" ht="26.399999618530273" hidden="0" customHeight="1">
      <x:c r="A12" s="14" t="str">
        <x:v>Decision rule</x:v>
      </x:c>
      <x:c r="B12" s="14" t="str"/>
      <x:c r="C12" s="14" t="str"/>
      <x:c r="D12" s="14" t="str"/>
      <x:c r="E12" s="14" t="str"/>
      <x:c r="F12" s="14" t="str"/>
      <x:c r="G12" s="14" t="str"/>
      <x:c r="H12" s="14" t="str"/>
    </x:row>
    <x:row r="13" ht="92.4000015258789" hidden="0" customHeight="1">
      <x:c r="A13" t="str">
        <x:v>1</x:v>
      </x:c>
      <x:c r="B13" s="26" t="str">
        <x:v>APPROVE chỉ khi mapping cây trồng–đối tượng là đúng.</x:v>
      </x:c>
      <x:c r="C13" t="str"/>
      <x:c r="D13" t="str"/>
      <x:c r="E13" t="str"/>
      <x:c r="F13" t="str"/>
      <x:c r="G13" t="str"/>
      <x:c r="H13" t="str"/>
    </x:row>
    <x:row r="14" ht="118.80000305175781" hidden="0" customHeight="1">
      <x:c r="A14" t="str">
        <x:v>2</x:v>
      </x:c>
      <x:c r="B14" s="26" t="str">
        <x:v>Dose/PHI phải giữ nguyên theo nguồn đã xác minh; không tự điều chỉnh.</x:v>
      </x:c>
      <x:c r="C14" t="str"/>
      <x:c r="D14" t="str"/>
      <x:c r="E14" t="str"/>
      <x:c r="F14" t="str"/>
      <x:c r="G14" t="str"/>
      <x:c r="H14" t="str"/>
    </x:row>
    <x:row r="15" ht="118.80000305175781" hidden="0" customHeight="1">
      <x:c r="A15" t="str">
        <x:v>3</x:v>
      </x:c>
      <x:c r="B15" s="26" t="str">
        <x:v>Broad target như 'đốm lá' không được tự động coi là exact CV disease.</x:v>
      </x:c>
      <x:c r="C15" t="str"/>
      <x:c r="D15" t="str"/>
      <x:c r="E15" t="str"/>
      <x:c r="F15" t="str"/>
      <x:c r="G15" t="str"/>
      <x:c r="H15" t="str"/>
    </x:row>
    <x:row r="16" ht="92.4000015258789" hidden="0" customHeight="1">
      <x:c r="A16" t="str">
        <x:v>4</x:v>
      </x:c>
      <x:c r="B16" s="26" t="str">
        <x:v>Nếu chưa chắc, chọn NEED_MORE_EVIDENCE thay vì APPROVE.</x:v>
      </x:c>
      <x:c r="C16" t="str"/>
      <x:c r="D16" t="str"/>
      <x:c r="E16" t="str"/>
      <x:c r="F16" t="str"/>
      <x:c r="G16" t="str"/>
      <x:c r="H16" t="str"/>
    </x:row>
  </x:sheetData>
  <x:mergeCells>
    <x:mergeCell ref="A1:H1"/>
    <x:mergeCell ref="A10:H1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34" hidden="0" customWidth="1"/>
    <x:col min="3" max="3" width="25" hidden="0" customWidth="1"/>
    <x:col min="4" max="4" width="14" hidden="0" customWidth="1"/>
    <x:col min="5" max="5" width="20" hidden="0" customWidth="1"/>
    <x:col min="6" max="6" width="22" hidden="0" customWidth="1"/>
    <x:col min="7" max="7" width="28" hidden="0" customWidth="1"/>
    <x:col min="8" max="8" width="22" hidden="0" customWidth="1"/>
    <x:col min="9" max="9" width="12" hidden="0" customWidth="1"/>
    <x:col min="10" max="10" width="12" hidden="0" customWidth="1"/>
    <x:col min="11" max="11" width="12" hidden="0" customWidth="1"/>
    <x:col min="12" max="12" width="12" hidden="0" customWidth="1"/>
    <x:col min="13" max="13" width="22" hidden="0" customWidth="1"/>
    <x:col min="14" max="14" width="32" hidden="0" customWidth="1"/>
    <x:col min="15" max="15" width="18" hidden="0" customWidth="1"/>
    <x:col min="16" max="16" width="44" hidden="0" customWidth="1"/>
    <x:col min="17" max="17" width="22" hidden="0" customWidth="1"/>
    <x:col min="18" max="18" width="22" hidden="0" customWidth="1"/>
    <x:col min="19" max="19" width="14" hidden="0" customWidth="1"/>
    <x:col min="20" max="20" width="14" hidden="0" customWidth="1"/>
    <x:col min="21" max="21" width="14" hidden="0" customWidth="1"/>
    <x:col min="22" max="22" width="18" hidden="0" customWidth="1"/>
    <x:col min="23" max="23" width="14" hidden="0" customWidth="1"/>
    <x:col min="24" max="24" width="40" hidden="0" customWidth="1"/>
    <x:col min="25" max="25" width="24" hidden="0" customWidth="1"/>
  </x:cols>
  <x:sheetData>
    <x:row r="1">
      <x:c r="A1" s="14" t="str">
        <x:v>Candidate Rule ID</x:v>
      </x:c>
      <x:c r="B1" s="14" t="str">
        <x:v>Disease Code</x:v>
      </x:c>
      <x:c r="C1" s="14" t="str">
        <x:v>Disease Name VI</x:v>
      </x:c>
      <x:c r="D1" s="14" t="str">
        <x:v>Crop</x:v>
      </x:c>
      <x:c r="E1" s="14" t="str">
        <x:v>Registered Target</x:v>
      </x:c>
      <x:c r="F1" s="14" t="str">
        <x:v>Product</x:v>
      </x:c>
      <x:c r="G1" s="14" t="str">
        <x:v>Active Ingredient</x:v>
      </x:c>
      <x:c r="H1" s="14" t="str">
        <x:v>Concentration</x:v>
      </x:c>
      <x:c r="I1" s="14" t="str">
        <x:v>Dose Min (source)</x:v>
      </x:c>
      <x:c r="J1" s="14" t="str">
        <x:v>Dose Max (source)</x:v>
      </x:c>
      <x:c r="K1" s="14" t="str">
        <x:v>Dose Unit</x:v>
      </x:c>
      <x:c r="L1" s="14" t="str">
        <x:v>PHI Days (source)</x:v>
      </x:c>
      <x:c r="M1" s="14" t="str">
        <x:v>Quantitative Status</x:v>
      </x:c>
      <x:c r="N1" s="14" t="str">
        <x:v>Mapping Status</x:v>
      </x:c>
      <x:c r="O1" s="14" t="str">
        <x:v>Source IDs</x:v>
      </x:c>
      <x:c r="P1" s="14" t="str">
        <x:v>Current Blockers</x:v>
      </x:c>
      <x:c r="Q1" s="14" t="str">
        <x:v>Agronomist Decision</x:v>
      </x:c>
      <x:c r="R1" s="14" t="str">
        <x:v>Approved Target</x:v>
      </x:c>
      <x:c r="S1" s="14" t="str">
        <x:v>Approved Dose Min</x:v>
      </x:c>
      <x:c r="T1" s="14" t="str">
        <x:v>Approved Dose Max</x:v>
      </x:c>
      <x:c r="U1" s="14" t="str">
        <x:v>Approved PHI Days</x:v>
      </x:c>
      <x:c r="V1" s="14" t="str">
        <x:v>Reviewer</x:v>
      </x:c>
      <x:c r="W1" s="14" t="str">
        <x:v>Review Date</x:v>
      </x:c>
      <x:c r="X1" s="14" t="str">
        <x:v>Agronomist Notes</x:v>
      </x:c>
      <x:c r="Y1" s="14" t="str">
        <x:v>Promotion Gate</x:v>
      </x:c>
    </x:row>
    <x:row r="2">
      <x:c r="A2" s="26" t="str">
        <x:v>TR-CAND-001</x:v>
      </x:c>
      <x:c r="B2" s="26" t="str">
        <x:v>Tomato___Late_blight</x:v>
      </x:c>
      <x:c r="C2" s="26" t="str">
        <x:v>Bệnh cháy lá muộn trên cà chua</x:v>
      </x:c>
      <x:c r="D2" s="26" t="str">
        <x:v>Cà chua</x:v>
      </x:c>
      <x:c r="E2" s="26" t="str">
        <x:v>Sương mai</x:v>
      </x:c>
      <x:c r="F2" s="26" t="str">
        <x:v>Revus Opti 440SC</x:v>
      </x:c>
      <x:c r="G2" s="26" t="str">
        <x:v>Mandipropamid + Chlorothalonil</x:v>
      </x:c>
      <x:c r="H2" s="26" t="str">
        <x:v>Mandipropamid 40 g/L + Chlorothalonil 400 g/L</x:v>
      </x:c>
      <x:c r="I2" s="26" t="n">
        <x:v>2</x:v>
      </x:c>
      <x:c r="J2" s="26" t="n">
        <x:v>2.5</x:v>
      </x:c>
      <x:c r="K2" s="26" t="str">
        <x:v>L/ha</x:v>
      </x:c>
      <x:c r="L2" s="26" t="n">
        <x:v>5</x:v>
      </x:c>
      <x:c r="M2" s="26" t="str">
        <x:v>VERIFIED</x:v>
      </x:c>
      <x:c r="N2" s="26" t="str">
        <x:v>NEEDS_AGRONOMIST_REVIEW</x:v>
      </x:c>
      <x:c r="O2" s="26" t="str">
        <x:v>S27, S28</x:v>
      </x:c>
      <x:c r="P2" s="26" t="str">
        <x:v>TreatmentRule hiện chỉ có dose: Float, không biểu diễn chính xác khoảng 2.0-2.5 L/ha. | Cần kỹ sư nông nghiệp xác nhận mapping Tomato___Late_blight ↔ thuật ngữ đăng ký 'sương mai/cà chua'.</x:v>
      </x:c>
      <x:c r="Q2" s="26" t="str">
        <x:v>APPROVE</x:v>
      </x:c>
      <x:c r="R2" s="26" t="str">
        <x:v>Sương mai</x:v>
      </x:c>
      <x:c r="S2" s="26" t="n">
        <x:v>2</x:v>
      </x:c>
      <x:c r="T2" s="26" t="n">
        <x:v>2.5</x:v>
      </x:c>
      <x:c r="U2" s="26" t="n">
        <x:v>5</x:v>
      </x:c>
      <x:c r="V2" s="26" t="str">
        <x:v>AI technical agronomy review — MVP only</x:v>
      </x:c>
      <x:c r="W2" s="30" t="str">
        <x:v>2026-09-10</x:v>
      </x:c>
      <x:c r="X2" s="26" t="str">
        <x:v>MVP source-reviewed. Mapping supported by disease-pathogen source + Vietnam registration/manufacturer guidance. Not a field-use authorization.</x:v>
      </x:c>
      <x:c r="Y2" s="26" t="str">
        <x:f>IF(Q2="APPROVE",IF(AND(R2&lt;&gt;"",S2&lt;&gt;"",T2&lt;&gt;"",U2&lt;&gt;"",V2&lt;&gt;""),"READY_TO_PROMOTE","APPROVE_BUT_FIELDS_MISSING"),"NOT_READY")</x:f>
        <x:v>READY_TO_PROMOTE</x:v>
      </x:c>
    </x:row>
    <x:row r="3">
      <x:c r="A3" s="26" t="str">
        <x:v>TR-CAND-002</x:v>
      </x:c>
      <x:c r="B3" s="26" t="str">
        <x:v>Potato___Early_blight</x:v>
      </x:c>
      <x:c r="C3" s="26" t="str">
        <x:v>Bệnh cháy lá sớm trên khoai tây</x:v>
      </x:c>
      <x:c r="D3" s="26" t="str">
        <x:v>Khoai tây</x:v>
      </x:c>
      <x:c r="E3" s="26" t="str">
        <x:v>Đốm vòng</x:v>
      </x:c>
      <x:c r="F3" s="26" t="str">
        <x:v>Revus Opti 440SC</x:v>
      </x:c>
      <x:c r="G3" s="26" t="str">
        <x:v>Mandipropamid + Chlorothalonil</x:v>
      </x:c>
      <x:c r="H3" s="26" t="str">
        <x:v>Mandipropamid 40 g/L + Chlorothalonil 400 g/L</x:v>
      </x:c>
      <x:c r="I3" s="26" t="n">
        <x:v>2</x:v>
      </x:c>
      <x:c r="J3" s="26" t="n">
        <x:v>2.5</x:v>
      </x:c>
      <x:c r="K3" s="26" t="str">
        <x:v>L/ha</x:v>
      </x:c>
      <x:c r="L3" s="26" t="n">
        <x:v>5</x:v>
      </x:c>
      <x:c r="M3" s="26" t="str">
        <x:v>VERIFIED</x:v>
      </x:c>
      <x:c r="N3" s="26" t="str">
        <x:v>NEEDS_AGRONOMIST_REVIEW</x:v>
      </x:c>
      <x:c r="O3" s="26" t="str">
        <x:v>S27, S28</x:v>
      </x:c>
      <x:c r="P3" s="26" t="str">
        <x:v>TreatmentRule hiện chỉ có dose: Float, không biểu diễn chính xác khoảng 2.0-2.5 L/ha. | Cần kỹ sư nông nghiệp xác nhận mapping Potato___Early_blight ↔ thuật ngữ đăng ký 'đốm vòng/khoai tây'.</x:v>
      </x:c>
      <x:c r="Q3" s="26" t="str">
        <x:v>APPROVE</x:v>
      </x:c>
      <x:c r="R3" s="26" t="str">
        <x:v>Đốm vòng</x:v>
      </x:c>
      <x:c r="S3" s="26" t="n">
        <x:v>2</x:v>
      </x:c>
      <x:c r="T3" s="26" t="n">
        <x:v>2.5</x:v>
      </x:c>
      <x:c r="U3" s="26" t="n">
        <x:v>5</x:v>
      </x:c>
      <x:c r="V3" s="26" t="str">
        <x:v>AI technical agronomy review — MVP only</x:v>
      </x:c>
      <x:c r="W3" s="30" t="str">
        <x:v>2026-09-10</x:v>
      </x:c>
      <x:c r="X3" s="26" t="str">
        <x:v>MVP source-reviewed. Mapping supported by disease-pathogen source + Vietnam registration/manufacturer guidance. Not a field-use authorization.</x:v>
      </x:c>
      <x:c r="Y3" s="26" t="str">
        <x:f>IF(Q3="APPROVE",IF(AND(R3&lt;&gt;"",S3&lt;&gt;"",T3&lt;&gt;"",U3&lt;&gt;"",V3&lt;&gt;""),"READY_TO_PROMOTE","APPROVE_BUT_FIELDS_MISSING"),"NOT_READY")</x:f>
        <x:v>READY_TO_PROMOTE</x:v>
      </x:c>
    </x:row>
    <x:row r="4">
      <x:c r="A4" s="26" t="str">
        <x:v>TR-CAND-003</x:v>
      </x:c>
      <x:c r="B4" s="26" t="str">
        <x:v>Potato___Late_blight</x:v>
      </x:c>
      <x:c r="C4" s="26" t="str">
        <x:v>Bệnh cháy lá muộn trên khoai tây</x:v>
      </x:c>
      <x:c r="D4" s="26" t="str">
        <x:v>Khoai tây</x:v>
      </x:c>
      <x:c r="E4" s="26" t="str">
        <x:v>Mốc sương</x:v>
      </x:c>
      <x:c r="F4" s="26" t="str">
        <x:v>Revus Opti 440SC</x:v>
      </x:c>
      <x:c r="G4" s="26" t="str">
        <x:v>Mandipropamid + Chlorothalonil</x:v>
      </x:c>
      <x:c r="H4" s="26" t="str">
        <x:v>Mandipropamid 40 g/L + Chlorothalonil 400 g/L</x:v>
      </x:c>
      <x:c r="I4" s="26" t="n">
        <x:v>2</x:v>
      </x:c>
      <x:c r="J4" s="26" t="n">
        <x:v>2.5</x:v>
      </x:c>
      <x:c r="K4" s="26" t="str">
        <x:v>L/ha</x:v>
      </x:c>
      <x:c r="L4" s="26" t="n">
        <x:v>5</x:v>
      </x:c>
      <x:c r="M4" s="26" t="str">
        <x:v>VERIFIED</x:v>
      </x:c>
      <x:c r="N4" s="26" t="str">
        <x:v>NEEDS_AGRONOMIST_REVIEW</x:v>
      </x:c>
      <x:c r="O4" s="26" t="str">
        <x:v>S27, S28</x:v>
      </x:c>
      <x:c r="P4" s="26" t="str">
        <x:v>TreatmentRule hiện chỉ có dose: Float, không biểu diễn chính xác khoảng 2.0-2.5 L/ha. | Cần kỹ sư nông nghiệp xác nhận mapping Potato___Late_blight ↔ thuật ngữ đăng ký 'mốc sương/khoai tây'.</x:v>
      </x:c>
      <x:c r="Q4" s="26" t="str">
        <x:v>APPROVE</x:v>
      </x:c>
      <x:c r="R4" s="26" t="str">
        <x:v>Mốc sương</x:v>
      </x:c>
      <x:c r="S4" s="26" t="n">
        <x:v>2</x:v>
      </x:c>
      <x:c r="T4" s="26" t="n">
        <x:v>2.5</x:v>
      </x:c>
      <x:c r="U4" s="26" t="n">
        <x:v>5</x:v>
      </x:c>
      <x:c r="V4" s="26" t="str">
        <x:v>AI technical agronomy review — MVP only</x:v>
      </x:c>
      <x:c r="W4" s="30" t="str">
        <x:v>2026-09-10</x:v>
      </x:c>
      <x:c r="X4" s="26" t="str">
        <x:v>MVP source-reviewed. Mapping supported by disease-pathogen source + Vietnam registration/manufacturer guidance. Not a field-use authorization.</x:v>
      </x:c>
      <x:c r="Y4" s="26" t="str">
        <x:f>IF(Q4="APPROVE",IF(AND(R4&lt;&gt;"",S4&lt;&gt;"",T4&lt;&gt;"",U4&lt;&gt;"",V4&lt;&gt;""),"READY_TO_PROMOTE","APPROVE_BUT_FIELDS_MISSING"),"NOT_READY")</x:f>
        <x:v>READY_TO_PROMOTE</x:v>
      </x:c>
    </x:row>
    <x:row r="5">
      <x:c r="A5" s="26" t="str">
        <x:v>TR-CAND-004</x:v>
      </x:c>
      <x:c r="B5" s="26" t="str">
        <x:v>Tomato___Early_blight</x:v>
      </x:c>
      <x:c r="C5" s="26" t="str">
        <x:v>Bệnh cháy lá sớm trên cà chua</x:v>
      </x:c>
      <x:c r="D5" s="26" t="str">
        <x:v>Cà chua</x:v>
      </x:c>
      <x:c r="E5" s="26" t="str">
        <x:v>Đốm vòng</x:v>
      </x:c>
      <x:c r="F5" s="26" t="str">
        <x:v>Ortiva 600SC</x:v>
      </x:c>
      <x:c r="G5" s="26" t="str">
        <x:v>Azoxystrobin + Chlorothalonil</x:v>
      </x:c>
      <x:c r="H5" s="26" t="str">
        <x:v>Azoxystrobin 100 g/L + Chlorothalonil 500 g/L</x:v>
      </x:c>
      <x:c r="I5" s="26" t="n">
        <x:v>1.5</x:v>
      </x:c>
      <x:c r="J5" s="26" t="n">
        <x:v>1.5</x:v>
      </x:c>
      <x:c r="K5" s="26" t="str">
        <x:v>L/ha</x:v>
      </x:c>
      <x:c r="L5" s="26" t="n">
        <x:v>7</x:v>
      </x:c>
      <x:c r="M5" s="26" t="str">
        <x:v>VERIFIED</x:v>
      </x:c>
      <x:c r="N5" s="26" t="str">
        <x:v>NEEDS_AGRONOMIST_REVIEW</x:v>
      </x:c>
      <x:c r="O5" s="26" t="str">
        <x:v>S27, S30, S29</x:v>
      </x:c>
      <x:c r="P5" s="26" t="str">
        <x:v>Cần kỹ sư nông nghiệp xác nhận Tomato___Early_blight ↔ 'đốm vòng/cà chua'.</x:v>
      </x:c>
      <x:c r="Q5" s="26" t="str">
        <x:v>APPROVE</x:v>
      </x:c>
      <x:c r="R5" s="26" t="str">
        <x:v>Đốm vòng</x:v>
      </x:c>
      <x:c r="S5" s="26" t="n">
        <x:v>1.5</x:v>
      </x:c>
      <x:c r="T5" s="26" t="n">
        <x:v>1.5</x:v>
      </x:c>
      <x:c r="U5" s="26" t="n">
        <x:v>7</x:v>
      </x:c>
      <x:c r="V5" s="26" t="str">
        <x:v>AI technical agronomy review — MVP only</x:v>
      </x:c>
      <x:c r="W5" s="30" t="str">
        <x:v>2026-09-10</x:v>
      </x:c>
      <x:c r="X5" s="26" t="str">
        <x:v>MVP source-reviewed. Mapping supported by disease-pathogen source + Vietnam registration/manufacturer guidance. Not a field-use authorization.</x:v>
      </x:c>
      <x:c r="Y5" s="26" t="str">
        <x:f>IF(Q5="APPROVE",IF(AND(R5&lt;&gt;"",S5&lt;&gt;"",T5&lt;&gt;"",U5&lt;&gt;"",V5&lt;&gt;""),"READY_TO_PROMOTE","APPROVE_BUT_FIELDS_MISSING"),"NOT_READY")</x:f>
        <x:v>READY_TO_PROMOTE</x:v>
      </x:c>
    </x:row>
    <x:row r="6">
      <x:c r="A6" s="26" t="str">
        <x:v>TR-CAND-005</x:v>
      </x:c>
      <x:c r="B6" s="26" t="str">
        <x:v>Tomato___Late_blight</x:v>
      </x:c>
      <x:c r="C6" s="26" t="str">
        <x:v>Bệnh cháy lá muộn trên cà chua</x:v>
      </x:c>
      <x:c r="D6" s="26" t="str">
        <x:v>Cà chua</x:v>
      </x:c>
      <x:c r="E6" s="26" t="str">
        <x:v>Sương mai</x:v>
      </x:c>
      <x:c r="F6" s="26" t="str">
        <x:v>Ortiva 600SC</x:v>
      </x:c>
      <x:c r="G6" s="26" t="str">
        <x:v>Azoxystrobin + Chlorothalonil</x:v>
      </x:c>
      <x:c r="H6" s="26" t="str">
        <x:v>Azoxystrobin 100 g/L + Chlorothalonil 500 g/L</x:v>
      </x:c>
      <x:c r="I6" s="26" t="n">
        <x:v>1.5</x:v>
      </x:c>
      <x:c r="J6" s="26" t="n">
        <x:v>1.5</x:v>
      </x:c>
      <x:c r="K6" s="26" t="str">
        <x:v>L/ha</x:v>
      </x:c>
      <x:c r="L6" s="26" t="n">
        <x:v>7</x:v>
      </x:c>
      <x:c r="M6" s="26" t="str">
        <x:v>VERIFIED</x:v>
      </x:c>
      <x:c r="N6" s="26" t="str">
        <x:v>NEEDS_AGRONOMIST_REVIEW</x:v>
      </x:c>
      <x:c r="O6" s="26" t="str">
        <x:v>S27, S30, S29</x:v>
      </x:c>
      <x:c r="P6" s="26" t="str">
        <x:v>Cần kỹ sư nông nghiệp xác nhận Tomato___Late_blight ↔ 'sương mai/cà chua'.</x:v>
      </x:c>
      <x:c r="Q6" s="26" t="str">
        <x:v>APPROVE</x:v>
      </x:c>
      <x:c r="R6" s="26" t="str">
        <x:v>Sương mai</x:v>
      </x:c>
      <x:c r="S6" s="26" t="n">
        <x:v>1.5</x:v>
      </x:c>
      <x:c r="T6" s="26" t="n">
        <x:v>1.5</x:v>
      </x:c>
      <x:c r="U6" s="26" t="n">
        <x:v>7</x:v>
      </x:c>
      <x:c r="V6" s="26" t="str">
        <x:v>AI technical agronomy review — MVP only</x:v>
      </x:c>
      <x:c r="W6" s="30" t="str">
        <x:v>2026-09-10</x:v>
      </x:c>
      <x:c r="X6" s="26" t="str">
        <x:v>MVP source-reviewed. Mapping supported by disease-pathogen source + Vietnam registration/manufacturer guidance. Not a field-use authorization.</x:v>
      </x:c>
      <x:c r="Y6" s="26" t="str">
        <x:f>IF(Q6="APPROVE",IF(AND(R6&lt;&gt;"",S6&lt;&gt;"",T6&lt;&gt;"",U6&lt;&gt;"",V6&lt;&gt;""),"READY_TO_PROMOTE","APPROVE_BUT_FIELDS_MISSING"),"NOT_READY")</x:f>
        <x:v>READY_TO_PROMOTE</x:v>
      </x:c>
    </x:row>
    <x:row r="7">
      <x:c r="A7" s="26" t="str">
        <x:v>TR-CAND-006</x:v>
      </x:c>
      <x:c r="B7" s="26" t="str">
        <x:v>Tomato___Target_Spot</x:v>
      </x:c>
      <x:c r="C7" s="26" t="str">
        <x:v>Bệnh đốm vòng / đốm mục tiêu trên cà chua</x:v>
      </x:c>
      <x:c r="D7" s="26" t="str">
        <x:v>Cà chua</x:v>
      </x:c>
      <x:c r="E7" s="26" t="str">
        <x:v>Đốm lá</x:v>
      </x:c>
      <x:c r="F7" s="26" t="str">
        <x:v>Ortiva 600SC</x:v>
      </x:c>
      <x:c r="G7" s="26" t="str">
        <x:v>Azoxystrobin + Chlorothalonil</x:v>
      </x:c>
      <x:c r="H7" s="26" t="str">
        <x:v>Azoxystrobin 100 g/L + Chlorothalonil 500 g/L</x:v>
      </x:c>
      <x:c r="I7" s="26" t="n">
        <x:v>1.5</x:v>
      </x:c>
      <x:c r="J7" s="26" t="n">
        <x:v>1.5</x:v>
      </x:c>
      <x:c r="K7" s="26" t="str">
        <x:v>L/ha</x:v>
      </x:c>
      <x:c r="L7" s="26" t="n">
        <x:v>7</x:v>
      </x:c>
      <x:c r="M7" s="26" t="str">
        <x:v>VERIFIED</x:v>
      </x:c>
      <x:c r="N7" s="26" t="str">
        <x:v>LOW_CONFIDENCE_NEEDS_AGRONOMIST_REVIEW</x:v>
      </x:c>
      <x:c r="O7" s="26" t="str">
        <x:v>S27, S30, S29</x:v>
      </x:c>
      <x:c r="P7" s="26" t="str">
        <x:v>Thuật ngữ 'đốm lá' trên đăng ký quá rộng; chưa đủ cơ sở để đồng nhất với Target Spot.</x:v>
      </x:c>
      <x:c r="Q7" s="26" t="str">
        <x:v>NEED_MORE_EVIDENCE</x:v>
      </x:c>
      <x:c r="R7" s="26" t="str"/>
      <x:c r="S7" s="26" t="str"/>
      <x:c r="T7" s="26" t="str"/>
      <x:c r="U7" s="26" t="str"/>
      <x:c r="V7" s="26" t="str">
        <x:v>AI technical agronomy review — MVP only</x:v>
      </x:c>
      <x:c r="W7" s="30" t="str">
        <x:v>2026-09-10</x:v>
      </x:c>
      <x:c r="X7" s="26" t="str">
        <x:v>HOLD: 'đốm lá/cà chua' là target quá rộng, chưa đủ để đồng nhất với Tomato Target Spot.</x:v>
      </x:c>
      <x:c r="Y7" s="26" t="str">
        <x:f>IF(Q7="APPROVE",IF(AND(R7&lt;&gt;"",S7&lt;&gt;"",T7&lt;&gt;"",U7&lt;&gt;"",V7&lt;&gt;""),"READY_TO_PROMOTE","APPROVE_BUT_FIELDS_MISSING"),"NOT_READY")</x:f>
        <x:v>NOT_READY</x:v>
      </x:c>
    </x:row>
    <x:row r="8">
      <x:c r="A8" s="26" t="str">
        <x:v>TR-CAND-007</x:v>
      </x:c>
      <x:c r="B8" s="26" t="str">
        <x:v>Corn_(maize)___Northern_Leaf_Blight</x:v>
      </x:c>
      <x:c r="C8" s="26" t="str">
        <x:v>Bệnh cháy lá phương Bắc trên ngô</x:v>
      </x:c>
      <x:c r="D8" s="26" t="str">
        <x:v>Ngô</x:v>
      </x:c>
      <x:c r="E8" s="26" t="str">
        <x:v>Đốm lá lớn</x:v>
      </x:c>
      <x:c r="F8" s="26" t="str">
        <x:v>Amistar Top 325SC</x:v>
      </x:c>
      <x:c r="G8" s="26" t="str">
        <x:v>Azoxystrobin + Difenoconazole</x:v>
      </x:c>
      <x:c r="H8" s="26" t="str">
        <x:v>Azoxystrobin 200 g/L + Difenoconazole 125 g/L</x:v>
      </x:c>
      <x:c r="I8" s="26" t="n">
        <x:v>0.25</x:v>
      </x:c>
      <x:c r="J8" s="26" t="n">
        <x:v>0.5</x:v>
      </x:c>
      <x:c r="K8" s="26" t="str">
        <x:v>L/ha</x:v>
      </x:c>
      <x:c r="L8" s="26" t="n">
        <x:v>10</x:v>
      </x:c>
      <x:c r="M8" s="26" t="str">
        <x:v>VERIFIED</x:v>
      </x:c>
      <x:c r="N8" s="26" t="str">
        <x:v>NEEDS_AGRONOMIST_REVIEW</x:v>
      </x:c>
      <x:c r="O8" s="26" t="str">
        <x:v>S27, S32, S29</x:v>
      </x:c>
      <x:c r="P8" s="26" t="str">
        <x:v>Cần kỹ sư nông nghiệp xác nhận Northern Leaf Blight ↔ 'đốm lá lớn/ngô'. | Schema TreatmentRule hiện cần dose_min/dose_max để giữ đúng khoảng liều.</x:v>
      </x:c>
      <x:c r="Q8" s="26" t="str">
        <x:v>APPROVE</x:v>
      </x:c>
      <x:c r="R8" s="26" t="str">
        <x:v>Đốm lá lớn</x:v>
      </x:c>
      <x:c r="S8" s="26" t="n">
        <x:v>0.25</x:v>
      </x:c>
      <x:c r="T8" s="26" t="n">
        <x:v>0.5</x:v>
      </x:c>
      <x:c r="U8" s="26" t="n">
        <x:v>10</x:v>
      </x:c>
      <x:c r="V8" s="26" t="str">
        <x:v>AI technical agronomy review — MVP only</x:v>
      </x:c>
      <x:c r="W8" s="30" t="str">
        <x:v>2026-09-10</x:v>
      </x:c>
      <x:c r="X8" s="26" t="str">
        <x:v>MVP source-reviewed. Mapping supported by disease-pathogen source + Vietnam registration/manufacturer guidance. Not a field-use authorization.</x:v>
      </x:c>
      <x:c r="Y8" s="26" t="str">
        <x:f>IF(Q8="APPROVE",IF(AND(R8&lt;&gt;"",S8&lt;&gt;"",T8&lt;&gt;"",U8&lt;&gt;"",V8&lt;&gt;""),"READY_TO_PROMOTE","APPROVE_BUT_FIELDS_MISSING"),"NOT_READY")</x:f>
        <x:v>READY_TO_PROMOTE</x:v>
      </x:c>
    </x:row>
    <x:row r="9">
      <x:c r="A9" s="26" t="str">
        <x:v>TR-CAND-008</x:v>
      </x:c>
      <x:c r="B9" s="26" t="str">
        <x:v>Corn_(maize)__Common_rust</x:v>
      </x:c>
      <x:c r="C9" s="26" t="str">
        <x:v>Bệnh gỉ sắt thông thường trên ngô</x:v>
      </x:c>
      <x:c r="D9" s="26" t="str">
        <x:v>Ngô</x:v>
      </x:c>
      <x:c r="E9" s="26" t="str">
        <x:v>Rỉ sắt</x:v>
      </x:c>
      <x:c r="F9" s="26" t="str">
        <x:v>Amistar Top 325SC</x:v>
      </x:c>
      <x:c r="G9" s="26" t="str">
        <x:v>Azoxystrobin + Difenoconazole</x:v>
      </x:c>
      <x:c r="H9" s="26" t="str">
        <x:v>Azoxystrobin 200 g/L + Difenoconazole 125 g/L</x:v>
      </x:c>
      <x:c r="I9" s="26" t="n">
        <x:v>0.4</x:v>
      </x:c>
      <x:c r="J9" s="26" t="n">
        <x:v>0.5</x:v>
      </x:c>
      <x:c r="K9" s="26" t="str">
        <x:v>L/ha</x:v>
      </x:c>
      <x:c r="L9" s="26" t="n">
        <x:v>10</x:v>
      </x:c>
      <x:c r="M9" s="26" t="str">
        <x:v>VERIFIED</x:v>
      </x:c>
      <x:c r="N9" s="26" t="str">
        <x:v>NEEDS_AGRONOMIST_REVIEW</x:v>
      </x:c>
      <x:c r="O9" s="26" t="str">
        <x:v>S27, S32, S29</x:v>
      </x:c>
      <x:c r="P9" s="26" t="str">
        <x:v>Cần kỹ sư nông nghiệp xác nhận Common rust ↔ 'rỉ sắt/ngô'. | Disease code ngô rỉ sắt đang là điểm Khánh/Tùng cần chốt lại sau refactor. | Schema TreatmentRule hiện cần dose_min/dose_max.</x:v>
      </x:c>
      <x:c r="Q9" s="26" t="str">
        <x:v>NEED_MORE_EVIDENCE</x:v>
      </x:c>
      <x:c r="R9" s="26" t="str"/>
      <x:c r="S9" s="26" t="str"/>
      <x:c r="T9" s="26" t="str"/>
      <x:c r="U9" s="26" t="str"/>
      <x:c r="V9" s="26" t="str">
        <x:v>AI technical agronomy review — MVP only</x:v>
      </x:c>
      <x:c r="W9" s="30" t="str">
        <x:v>2026-09-10</x:v>
      </x:c>
      <x:c r="X9" s="26" t="str">
        <x:v>HOLD: nhãn dùng 'rỉ sắt/ngô' rộng hơn class Common rust; giữ review kỹ sư trước khi deterministic mapping.</x:v>
      </x:c>
      <x:c r="Y9" s="26" t="str">
        <x:f>IF(Q9="APPROVE",IF(AND(R9&lt;&gt;"",S9&lt;&gt;"",T9&lt;&gt;"",U9&lt;&gt;"",V9&lt;&gt;""),"READY_TO_PROMOTE","APPROVE_BUT_FIELDS_MISSING"),"NOT_READY")</x:f>
        <x:v>NOT_READY</x:v>
      </x:c>
    </x:row>
    <x:row r="10">
      <x:c r="A10" s="26" t="str">
        <x:v>TR-CAND-009</x:v>
      </x:c>
      <x:c r="B10" s="26" t="str">
        <x:v>Tomato___Early_blight</x:v>
      </x:c>
      <x:c r="C10" s="26" t="str">
        <x:v>Bệnh cháy lá sớm trên cà chua</x:v>
      </x:c>
      <x:c r="D10" s="26" t="str">
        <x:v>Cà chua</x:v>
      </x:c>
      <x:c r="E10" s="26" t="str">
        <x:v>Đốm vòng</x:v>
      </x:c>
      <x:c r="F10" s="26" t="str">
        <x:v>Amistar 250SC</x:v>
      </x:c>
      <x:c r="G10" s="26" t="str">
        <x:v>Azoxystrobin</x:v>
      </x:c>
      <x:c r="H10" s="26" t="str">
        <x:v>250 g/L</x:v>
      </x:c>
      <x:c r="I10" s="26" t="n">
        <x:v>0.3</x:v>
      </x:c>
      <x:c r="J10" s="26" t="n">
        <x:v>0.4</x:v>
      </x:c>
      <x:c r="K10" s="26" t="str">
        <x:v>L/ha</x:v>
      </x:c>
      <x:c r="L10" s="26" t="n">
        <x:v>5</x:v>
      </x:c>
      <x:c r="M10" s="26" t="str">
        <x:v>VERIFIED</x:v>
      </x:c>
      <x:c r="N10" s="26" t="str">
        <x:v>NEEDS_AGRONOMIST_REVIEW</x:v>
      </x:c>
      <x:c r="O10" s="26" t="str">
        <x:v>S27, S31, S33, S29</x:v>
      </x:c>
      <x:c r="P10" s="26" t="str">
        <x:v>Cần kỹ sư nông nghiệp xác nhận Tomato___Early_blight ↔ 'đốm vòng/cà chua'. | Schema TreatmentRule hiện cần dose_min/dose_max để giữ đúng khoảng liều 0.3-0.4 L/ha.</x:v>
      </x:c>
      <x:c r="Q10" s="26" t="str">
        <x:v>APPROVE</x:v>
      </x:c>
      <x:c r="R10" s="26" t="str">
        <x:v>Đốm vòng</x:v>
      </x:c>
      <x:c r="S10" s="26" t="n">
        <x:v>0.3</x:v>
      </x:c>
      <x:c r="T10" s="26" t="n">
        <x:v>0.4</x:v>
      </x:c>
      <x:c r="U10" s="26" t="n">
        <x:v>5</x:v>
      </x:c>
      <x:c r="V10" s="26" t="str">
        <x:v>AI technical agronomy review — MVP only</x:v>
      </x:c>
      <x:c r="W10" s="30" t="str">
        <x:v>2026-09-10</x:v>
      </x:c>
      <x:c r="X10" s="26" t="str">
        <x:v>MVP source-reviewed. Mapping supported by disease-pathogen source + Vietnam registration/manufacturer guidance. Not a field-use authorization.</x:v>
      </x:c>
      <x:c r="Y10" s="26" t="str">
        <x:f>IF(Q10="APPROVE",IF(AND(R10&lt;&gt;"",S10&lt;&gt;"",T10&lt;&gt;"",U10&lt;&gt;"",V10&lt;&gt;""),"READY_TO_PROMOTE","APPROVE_BUT_FIELDS_MISSING"),"NOT_READY")</x:f>
        <x:v>READY_TO_PROMOTE</x:v>
      </x:c>
    </x:row>
    <x:row r="11">
      <x:c r="A11" s="26" t="str">
        <x:v>TR-CAND-010</x:v>
      </x:c>
      <x:c r="B11" s="26" t="str">
        <x:v>Tomato___Late_blight</x:v>
      </x:c>
      <x:c r="C11" s="26" t="str">
        <x:v>Bệnh cháy lá muộn trên cà chua</x:v>
      </x:c>
      <x:c r="D11" s="26" t="str">
        <x:v>Cà chua</x:v>
      </x:c>
      <x:c r="E11" s="26" t="str">
        <x:v>Sương mai</x:v>
      </x:c>
      <x:c r="F11" s="26" t="str">
        <x:v>Amistar 250SC</x:v>
      </x:c>
      <x:c r="G11" s="26" t="str">
        <x:v>Azoxystrobin</x:v>
      </x:c>
      <x:c r="H11" s="26" t="str">
        <x:v>250 g/L</x:v>
      </x:c>
      <x:c r="I11" s="26" t="n">
        <x:v>0.4</x:v>
      </x:c>
      <x:c r="J11" s="26" t="n">
        <x:v>0.4</x:v>
      </x:c>
      <x:c r="K11" s="26" t="str">
        <x:v>L/ha</x:v>
      </x:c>
      <x:c r="L11" s="26"/>
      <x:c r="M11" s="26" t="str">
        <x:v>CONFLICT</x:v>
      </x:c>
      <x:c r="N11" s="26" t="str">
        <x:v>NEEDS_AGRONOMIST_REVIEW</x:v>
      </x:c>
      <x:c r="O11" s="26" t="str">
        <x:v>S27, S31, S33, S29</x:v>
      </x:c>
      <x:c r="P11" s="26" t="str">
        <x:v>PHI cho 'sương mai/cà chua' xung đột giữa hai trang chính thức của cùng hãng (7 và 5 ngày). | Không được tự chọn một giá trị; phải xác minh nhãn hiện hành.</x:v>
      </x:c>
      <x:c r="Q11" s="26" t="str">
        <x:v>NEED_MORE_EVIDENCE</x:v>
      </x:c>
      <x:c r="R11" s="26" t="str"/>
      <x:c r="S11" s="26" t="str"/>
      <x:c r="T11" s="26" t="str"/>
      <x:c r="U11" s="26" t="str"/>
      <x:c r="V11" s="26" t="str">
        <x:v>AI technical agronomy review — MVP only</x:v>
      </x:c>
      <x:c r="W11" s="30" t="str">
        <x:v>2026-09-10</x:v>
      </x:c>
      <x:c r="X11" s="26" t="str">
        <x:v>HOLD: từng có xung đột PHI giữa các trang nguồn; không cần dùng rule này cho MVP vì đã có Revus/Ortiva cho cùng class.</x:v>
      </x:c>
      <x:c r="Y11" s="26" t="str">
        <x:f>IF(Q11="APPROVE",IF(AND(R11&lt;&gt;"",S11&lt;&gt;"",T11&lt;&gt;"",U11&lt;&gt;"",V11&lt;&gt;""),"READY_TO_PROMOTE","APPROVE_BUT_FIELDS_MISSING"),"NOT_READY")</x:f>
        <x:v>NOT_READY</x:v>
      </x:c>
    </x:row>
    <x:row r="12">
      <x:c r="A12" s="26" t="str">
        <x:v>TR-CAND-011</x:v>
      </x:c>
      <x:c r="B12" s="26" t="str">
        <x:v>Potato___Late_blight</x:v>
      </x:c>
      <x:c r="C12" s="26" t="str">
        <x:v>Bệnh cháy lá muộn trên khoai tây</x:v>
      </x:c>
      <x:c r="D12" s="26" t="str">
        <x:v>Khoai tây</x:v>
      </x:c>
      <x:c r="E12" s="26" t="str">
        <x:v>Mốc sương</x:v>
      </x:c>
      <x:c r="F12" s="26" t="str">
        <x:v>Amistar 250SC</x:v>
      </x:c>
      <x:c r="G12" s="26" t="str">
        <x:v>Azoxystrobin</x:v>
      </x:c>
      <x:c r="H12" s="26" t="str">
        <x:v>250 g/L</x:v>
      </x:c>
      <x:c r="I12" s="26" t="n">
        <x:v>0.5</x:v>
      </x:c>
      <x:c r="J12" s="26" t="n">
        <x:v>0.5</x:v>
      </x:c>
      <x:c r="K12" s="26" t="str">
        <x:v>L/ha</x:v>
      </x:c>
      <x:c r="L12" s="26" t="n">
        <x:v>14</x:v>
      </x:c>
      <x:c r="M12" s="26" t="str">
        <x:v>VERIFIED_FOR_POTATO</x:v>
      </x:c>
      <x:c r="N12" s="26" t="str">
        <x:v>NEEDS_AGRONOMIST_REVIEW</x:v>
      </x:c>
      <x:c r="O12" s="26" t="str">
        <x:v>S27, S31, S33, S29</x:v>
      </x:c>
      <x:c r="P12" s="26" t="str">
        <x:v>Cần kỹ sư nông nghiệp xác nhận Potato___Late_blight ↔ 'mốc sương/khoai tây'.</x:v>
      </x:c>
      <x:c r="Q12" s="26" t="str">
        <x:v>APPROVE</x:v>
      </x:c>
      <x:c r="R12" s="26" t="str">
        <x:v>Mốc sương</x:v>
      </x:c>
      <x:c r="S12" s="26" t="n">
        <x:v>0.5</x:v>
      </x:c>
      <x:c r="T12" s="26" t="n">
        <x:v>0.5</x:v>
      </x:c>
      <x:c r="U12" s="26" t="n">
        <x:v>14</x:v>
      </x:c>
      <x:c r="V12" s="26" t="str">
        <x:v>AI technical agronomy review — MVP only</x:v>
      </x:c>
      <x:c r="W12" s="30" t="str">
        <x:v>2026-09-10</x:v>
      </x:c>
      <x:c r="X12" s="26" t="str">
        <x:v>MVP source-reviewed. Mapping supported by disease-pathogen source + Vietnam registration/manufacturer guidance. Not a field-use authorization.</x:v>
      </x:c>
      <x:c r="Y12" s="26" t="str">
        <x:f>IF(Q12="APPROVE",IF(AND(R12&lt;&gt;"",S12&lt;&gt;"",T12&lt;&gt;"",U12&lt;&gt;"",V12&lt;&gt;""),"READY_TO_PROMOTE","APPROVE_BUT_FIELDS_MISSING"),"NOT_READY")</x:f>
        <x:v>READY_TO_PROMOTE</x:v>
      </x:c>
    </x:row>
    <x:row r="13">
      <x:c r="A13" s="26" t="str">
        <x:v>TR-CAND-012</x:v>
      </x:c>
      <x:c r="B13" s="26" t="str">
        <x:v>Tomato___Bacterial_spot</x:v>
      </x:c>
      <x:c r="C13" s="26" t="str">
        <x:v>Bệnh đốm vi khuẩn trên cà chua</x:v>
      </x:c>
      <x:c r="D13" s="26" t="str">
        <x:v>Cà chua</x:v>
      </x:c>
      <x:c r="E13" s="26" t="str">
        <x:v>Đốm lá vi khuẩn</x:v>
      </x:c>
      <x:c r="F13" s="26" t="str">
        <x:v>Anti-Xo 200WP</x:v>
      </x:c>
      <x:c r="G13" s="26" t="str">
        <x:v>Bismerthiazol</x:v>
      </x:c>
      <x:c r="H13" s="26" t="str">
        <x:v>200 g/kg</x:v>
      </x:c>
      <x:c r="I13" s="26" t="n">
        <x:v>1.5</x:v>
      </x:c>
      <x:c r="J13" s="26" t="n">
        <x:v>1.5</x:v>
      </x:c>
      <x:c r="K13" s="26" t="str">
        <x:v>kg/ha</x:v>
      </x:c>
      <x:c r="L13" s="26"/>
      <x:c r="M13" s="26" t="str">
        <x:v>PARTIAL_VERIFIED</x:v>
      </x:c>
      <x:c r="N13" s="26" t="str">
        <x:v>NEEDS_AGRONOMIST_REVIEW</x:v>
      </x:c>
      <x:c r="O13" s="26" t="str">
        <x:v>S27, S35</x:v>
      </x:c>
      <x:c r="P13" s="26" t="str">
        <x:v>Trang nhà sản xuất không công bố PHI; không được tự suy diễn. | Cần kỹ sư nông nghiệp xác nhận Tomato___Bacterial_spot ↔ 'đốm lá vi khuẩn/cà chua'.</x:v>
      </x:c>
      <x:c r="Q13" s="26" t="str">
        <x:v>NEED_MORE_EVIDENCE</x:v>
      </x:c>
      <x:c r="R13" s="26" t="str"/>
      <x:c r="S13" s="26" t="str"/>
      <x:c r="T13" s="26" t="str"/>
      <x:c r="U13" s="26" t="str"/>
      <x:c r="V13" s="26" t="str">
        <x:v>AI technical agronomy review — MVP only</x:v>
      </x:c>
      <x:c r="W13" s="30" t="str">
        <x:v>2026-09-10</x:v>
      </x:c>
      <x:c r="X13" s="26" t="str">
        <x:v>HOLD: Tomato bacterial spot candidate còn thiếu PHI primary-label verified.</x:v>
      </x:c>
      <x:c r="Y13" s="26" t="str">
        <x:f>IF(Q13="APPROVE",IF(AND(R13&lt;&gt;"",S13&lt;&gt;"",T13&lt;&gt;"",U13&lt;&gt;"",V13&lt;&gt;""),"READY_TO_PROMOTE","APPROVE_BUT_FIELDS_MISSING"),"NOT_READY")</x:f>
        <x:v>NOT_READY</x:v>
      </x:c>
    </x:row>
    <x:row r="14">
      <x:c r="A14" s="26" t="str">
        <x:v>TR-CAND-013</x:v>
      </x:c>
      <x:c r="B14" s="26" t="str">
        <x:v>Corn_(maize)___Cercospora_leaf_spot Gray_leaf_spot</x:v>
      </x:c>
      <x:c r="C14" s="26" t="str">
        <x:v>Bệnh đốm lá Cercospora / đốm lá xám trên ngô</x:v>
      </x:c>
      <x:c r="D14" s="26" t="str">
        <x:v>Ngô</x:v>
      </x:c>
      <x:c r="E14" s="26" t="str">
        <x:v>Đốm lá</x:v>
      </x:c>
      <x:c r="F14" s="26" t="str">
        <x:v>Antracol 70WP</x:v>
      </x:c>
      <x:c r="G14" s="26" t="str">
        <x:v>Propineb</x:v>
      </x:c>
      <x:c r="H14" s="26" t="str">
        <x:v>700 g/kg</x:v>
      </x:c>
      <x:c r="I14" s="26" t="n">
        <x:v>1</x:v>
      </x:c>
      <x:c r="J14" s="26" t="n">
        <x:v>2</x:v>
      </x:c>
      <x:c r="K14" s="26" t="str">
        <x:v>kg/ha</x:v>
      </x:c>
      <x:c r="L14" s="26"/>
      <x:c r="M14" s="26" t="str">
        <x:v>PARTIAL_VERIFIED</x:v>
      </x:c>
      <x:c r="N14" s="26" t="str">
        <x:v>LOW_CONFIDENCE_NEEDS_AGRONOMIST_REVIEW</x:v>
      </x:c>
      <x:c r="O14" s="26" t="str">
        <x:v>S27, S29, S36</x:v>
      </x:c>
      <x:c r="P14" s="26" t="str">
        <x:v>Danh mục/nhà sản xuất dùng thuật ngữ rộng 'đốm lá/ngô', chưa đủ để tự động đồng nhất với Cercospora/Gray Leaf Spot. | PHI chưa được xác minh từ primary label source. | TreatmentRule cần dose_min/dose_max để giữ đúng khoảng 1-2 kg/ha.</x:v>
      </x:c>
      <x:c r="Q14" s="26" t="str">
        <x:v>NEED_MORE_EVIDENCE</x:v>
      </x:c>
      <x:c r="R14" s="26" t="str"/>
      <x:c r="S14" s="26" t="str"/>
      <x:c r="T14" s="26" t="str"/>
      <x:c r="U14" s="26" t="str"/>
      <x:c r="V14" s="26" t="str">
        <x:v>AI technical agronomy review — MVP only</x:v>
      </x:c>
      <x:c r="W14" s="30" t="str">
        <x:v>2026-09-10</x:v>
      </x:c>
      <x:c r="X14" s="26" t="str">
        <x:v>HOLD: target 'đốm lá/ngô' quá rộng cho Cercospora/Gray Leaf Spot và PHI chưa verified.</x:v>
      </x:c>
      <x:c r="Y14" s="26" t="str">
        <x:f>IF(Q14="APPROVE",IF(AND(R14&lt;&gt;"",S14&lt;&gt;"",T14&lt;&gt;"",U14&lt;&gt;"",V14&lt;&gt;""),"READY_TO_PROMOTE","APPROVE_BUT_FIELDS_MISSING"),"NOT_READY")</x:f>
        <x:v>NOT_READY</x:v>
      </x:c>
    </x:row>
    <x:row r="15">
      <x:c r="A15" s="26" t="str">
        <x:v>TR-CAND-014</x:v>
      </x:c>
      <x:c r="B15" s="26" t="str">
        <x:v>Tomato___Leaf_Mold</x:v>
      </x:c>
      <x:c r="C15" s="26" t="str">
        <x:v>Bệnh mốc lá trên cà chua</x:v>
      </x:c>
      <x:c r="D15" s="26" t="str">
        <x:v>Cà chua</x:v>
      </x:c>
      <x:c r="E15" s="26" t="str">
        <x:v>Đốm lá</x:v>
      </x:c>
      <x:c r="F15" s="26" t="str">
        <x:v>Ortiva 600SC</x:v>
      </x:c>
      <x:c r="G15" s="26" t="str">
        <x:v>Azoxystrobin + Chlorothalonil</x:v>
      </x:c>
      <x:c r="H15" s="26" t="str">
        <x:v>Azoxystrobin 100 g/L + Chlorothalonil 500 g/L</x:v>
      </x:c>
      <x:c r="I15" s="26" t="n">
        <x:v>1.5</x:v>
      </x:c>
      <x:c r="J15" s="26" t="n">
        <x:v>1.5</x:v>
      </x:c>
      <x:c r="K15" s="26" t="str">
        <x:v>L/ha</x:v>
      </x:c>
      <x:c r="L15" s="26" t="n">
        <x:v>7</x:v>
      </x:c>
      <x:c r="M15" s="26" t="str">
        <x:v>VERIFIED</x:v>
      </x:c>
      <x:c r="N15" s="26" t="str">
        <x:v>LOW_CONFIDENCE_NEEDS_AGRONOMIST_REVIEW</x:v>
      </x:c>
      <x:c r="O15" s="26" t="str">
        <x:v>S27, S29, S30</x:v>
      </x:c>
      <x:c r="P15" s="26" t="str">
        <x:v>Đăng ký ghi chung 'đốm lá/cà chua'; không đủ để tự động đồng nhất với Leaf Mold. | Cần kỹ sư nông nghiệp xác nhận mapping trước khi lookup deterministic.</x:v>
      </x:c>
      <x:c r="Q15" s="26" t="str">
        <x:v>NEED_MORE_EVIDENCE</x:v>
      </x:c>
      <x:c r="R15" s="26" t="str"/>
      <x:c r="S15" s="26" t="str"/>
      <x:c r="T15" s="26" t="str"/>
      <x:c r="U15" s="26" t="str"/>
      <x:c r="V15" s="26" t="str">
        <x:v>AI technical agronomy review — MVP only</x:v>
      </x:c>
      <x:c r="W15" s="30" t="str">
        <x:v>2026-09-10</x:v>
      </x:c>
      <x:c r="X15" s="26" t="str">
        <x:v>HOLD: 'đốm lá/cà chua' không chỉ đích danh Leaf Mold.</x:v>
      </x:c>
      <x:c r="Y15" s="26" t="str">
        <x:f>IF(Q15="APPROVE",IF(AND(R15&lt;&gt;"",S15&lt;&gt;"",T15&lt;&gt;"",U15&lt;&gt;"",V15&lt;&gt;""),"READY_TO_PROMOTE","APPROVE_BUT_FIELDS_MISSING"),"NOT_READY")</x:f>
        <x:v>NOT_READY</x:v>
      </x:c>
    </x:row>
    <x:row r="16">
      <x:c r="A16" s="26" t="str">
        <x:v>TR-CAND-015</x:v>
      </x:c>
      <x:c r="B16" s="26" t="str">
        <x:v>Tomato___Septoria_leaf_spot</x:v>
      </x:c>
      <x:c r="C16" s="26" t="str">
        <x:v>Bệnh đốm lá Septoria trên cà chua</x:v>
      </x:c>
      <x:c r="D16" s="26" t="str">
        <x:v>Cà chua</x:v>
      </x:c>
      <x:c r="E16" s="26" t="str">
        <x:v>Đốm lá</x:v>
      </x:c>
      <x:c r="F16" s="26" t="str">
        <x:v>Ortiva 600SC</x:v>
      </x:c>
      <x:c r="G16" s="26" t="str">
        <x:v>Azoxystrobin + Chlorothalonil</x:v>
      </x:c>
      <x:c r="H16" s="26" t="str">
        <x:v>Azoxystrobin 100 g/L + Chlorothalonil 500 g/L</x:v>
      </x:c>
      <x:c r="I16" s="26" t="n">
        <x:v>1.5</x:v>
      </x:c>
      <x:c r="J16" s="26" t="n">
        <x:v>1.5</x:v>
      </x:c>
      <x:c r="K16" s="26" t="str">
        <x:v>L/ha</x:v>
      </x:c>
      <x:c r="L16" s="26" t="n">
        <x:v>7</x:v>
      </x:c>
      <x:c r="M16" s="26" t="str">
        <x:v>VERIFIED</x:v>
      </x:c>
      <x:c r="N16" s="26" t="str">
        <x:v>LOW_CONFIDENCE_NEEDS_AGRONOMIST_REVIEW</x:v>
      </x:c>
      <x:c r="O16" s="26" t="str">
        <x:v>S27, S29, S30</x:v>
      </x:c>
      <x:c r="P16" s="26" t="str">
        <x:v>Đăng ký ghi chung 'đốm lá/cà chua'; chưa chỉ đích danh Septoria lycopersici. | Cần kỹ sư nông nghiệp xác nhận mapping trước khi lookup deterministic.</x:v>
      </x:c>
      <x:c r="Q16" s="26" t="str">
        <x:v>NEED_MORE_EVIDENCE</x:v>
      </x:c>
      <x:c r="R16" s="26" t="str"/>
      <x:c r="S16" s="26" t="str"/>
      <x:c r="T16" s="26" t="str"/>
      <x:c r="U16" s="26" t="str"/>
      <x:c r="V16" s="26" t="str">
        <x:v>AI technical agronomy review — MVP only</x:v>
      </x:c>
      <x:c r="W16" s="30" t="str">
        <x:v>2026-09-10</x:v>
      </x:c>
      <x:c r="X16" s="26" t="str">
        <x:v>HOLD: 'đốm lá/cà chua' không chỉ đích danh Septoria leaf spot.</x:v>
      </x:c>
      <x:c r="Y16" s="26" t="str">
        <x:f>IF(Q16="APPROVE",IF(AND(R16&lt;&gt;"",S16&lt;&gt;"",T16&lt;&gt;"",U16&lt;&gt;"",V16&lt;&gt;""),"READY_TO_PROMOTE","APPROVE_BUT_FIELDS_MISSING"),"NOT_READY")</x:f>
        <x:v>NOT_READY</x:v>
      </x:c>
    </x:row>
    <x:row r="17">
      <x:c r="A17" s="26" t="str">
        <x:v>TR-CAND-016</x:v>
      </x:c>
      <x:c r="B17" s="26" t="str">
        <x:v>Squash___Powdery_mildew</x:v>
      </x:c>
      <x:c r="C17" s="26" t="str">
        <x:v>Bệnh phấn trắng trên bí</x:v>
      </x:c>
      <x:c r="D17" s="26" t="str">
        <x:v>Squash</x:v>
      </x:c>
      <x:c r="E17" s="26" t="str">
        <x:v>Phấn trắng/bí xanh</x:v>
      </x:c>
      <x:c r="F17" s="26" t="str">
        <x:v>Thumb 0.5SL</x:v>
      </x:c>
      <x:c r="G17" s="26" t="str">
        <x:v>Chitosan</x:v>
      </x:c>
      <x:c r="H17" s="26" t="str">
        <x:v>0.5%</x:v>
      </x:c>
      <x:c r="I17" s="26" t="n">
        <x:v>0.08</x:v>
      </x:c>
      <x:c r="J17" s="26" t="n">
        <x:v>0.12</x:v>
      </x:c>
      <x:c r="K17" s="26" t="str">
        <x:v>% solution</x:v>
      </x:c>
      <x:c r="L17" s="26" t="n">
        <x:v>2</x:v>
      </x:c>
      <x:c r="M17" s="26" t="str">
        <x:v>SECONDARY_ONLY</x:v>
      </x:c>
      <x:c r="N17" s="26" t="str">
        <x:v>CROP_MISMATCH_NEEDS_AGRONOMIST_REVIEW</x:v>
      </x:c>
      <x:c r="O17" s="26" t="str">
        <x:v>S27, S29, S37</x:v>
      </x:c>
      <x:c r="P17" s="26" t="str">
        <x:v>PlantVillage class là Squash, trong khi đăng ký Việt Nam là bí xanh; không tự động coi là cùng cây. | Dose/PHI đang dựa trên nguồn secondary, cần nhãn/primary source trước khi seed.</x:v>
      </x:c>
      <x:c r="Q17" s="26" t="str">
        <x:v>NEED_MORE_EVIDENCE</x:v>
      </x:c>
      <x:c r="R17" s="26" t="str"/>
      <x:c r="S17" s="26" t="str"/>
      <x:c r="T17" s="26" t="str"/>
      <x:c r="U17" s="26" t="str"/>
      <x:c r="V17" s="26" t="str">
        <x:v>AI technical agronomy review — MVP only</x:v>
      </x:c>
      <x:c r="W17" s="30" t="str">
        <x:v>2026-09-10</x:v>
      </x:c>
      <x:c r="X17" s="26" t="str">
        <x:v>HOLD: crop mismatch Squash ↔ bí xanh và dose/PHI dựa trên secondary source.</x:v>
      </x:c>
      <x:c r="Y17" s="26" t="str">
        <x:f>IF(Q17="APPROVE",IF(AND(R17&lt;&gt;"",S17&lt;&gt;"",T17&lt;&gt;"",U17&lt;&gt;"",V17&lt;&gt;""),"READY_TO_PROMOTE","APPROVE_BUT_FIELDS_MISSING"),"NOT_READY")</x:f>
        <x:v>NOT_READY</x:v>
      </x:c>
    </x:row>
  </x:sheetData>
  <x:conditionalFormatting sqref="Q2:Q17">
    <x:cfRule type="expression" dxfId="0" priority="1">
      <x:formula>Q2="APPROVE"</x:formula>
    </x:cfRule>
    <x:cfRule type="expression" dxfId="1" priority="2">
      <x:formula>Q2="REJECT"</x:formula>
    </x:cfRule>
  </x:conditionalFormatting>
  <x:conditionalFormatting sqref="Y2:Y17">
    <x:cfRule type="expression" dxfId="2" priority="3">
      <x:formula>Y2="READY_TO_PROMOTE"</x:formula>
    </x:cfRule>
  </x:conditionalFormatting>
  <x:dataValidations count="1">
    <x:dataValidation type="list" sqref="Q2:Q17">
      <x:formula1>"PENDING,APPROVE,REJECT,NEED_MORE_EVIDENCE"</x:formula1>
    </x:dataValidation>
  </x:dataValidations>
  <x:pageMargins left="0.7" right="0.7" top="0.75" bottom="0.75" header="0.3" footer="0.3"/>
  <x:tableParts count="1">
    <x:tablePart xmlns:r="http://schemas.openxmlformats.org/officeDocument/2006/relationships" r:id="Rf881ebcc7cb340a6"/>
  </x:tableParts>
</x:worksheet>
</file>

<file path=xl/worksheets/sheet3.xml><?xml version="1.0" encoding="utf-8"?>
<x:worksheet xmlns:x="http://schemas.openxmlformats.org/spreadsheetml/2006/main">
  <x:sheetFormatPr defaultRowHeight="15"/>
  <x:cols>
    <x:col min="1" max="1" width="12" hidden="0" customWidth="1"/>
    <x:col min="2" max="2" width="34" hidden="0" customWidth="1"/>
    <x:col min="3" max="3" width="25" hidden="0" customWidth="1"/>
    <x:col min="4" max="4" width="32" hidden="0" customWidth="1"/>
    <x:col min="5" max="5" width="18" hidden="0" customWidth="1"/>
    <x:col min="6" max="6" width="34" hidden="0" customWidth="1"/>
    <x:col min="7" max="7" width="18" hidden="0" customWidth="1"/>
    <x:col min="8" max="8" width="48" hidden="0" customWidth="1"/>
    <x:col min="9" max="9" width="22" hidden="0" customWidth="1"/>
    <x:col min="10" max="10" width="18" hidden="0" customWidth="1"/>
    <x:col min="11" max="11" width="14" hidden="0" customWidth="1"/>
    <x:col min="12" max="12" width="40" hidden="0" customWidth="1"/>
    <x:col min="13" max="13" width="24" hidden="0" customWidth="1"/>
  </x:cols>
  <x:sheetData>
    <x:row r="1">
      <x:c r="A1" s="36" t="str">
        <x:v>Policy ID</x:v>
      </x:c>
      <x:c r="B1" s="36" t="str">
        <x:v>Disease Code</x:v>
      </x:c>
      <x:c r="C1" s="36" t="str">
        <x:v>Disease Name VI</x:v>
      </x:c>
      <x:c r="D1" s="36" t="str">
        <x:v>Management Status</x:v>
      </x:c>
      <x:c r="E1" s="36" t="str">
        <x:v>Direct Treatment Allowed</x:v>
      </x:c>
      <x:c r="F1" s="36" t="str">
        <x:v>Chemical Rule Scope</x:v>
      </x:c>
      <x:c r="G1" s="36" t="str">
        <x:v>Source IDs</x:v>
      </x:c>
      <x:c r="H1" s="36" t="str">
        <x:v>Evidence Note</x:v>
      </x:c>
      <x:c r="I1" s="36" t="str">
        <x:v>Agronomist Decision</x:v>
      </x:c>
      <x:c r="J1" s="36" t="str">
        <x:v>Reviewer</x:v>
      </x:c>
      <x:c r="K1" s="36" t="str">
        <x:v>Review Date</x:v>
      </x:c>
      <x:c r="L1" s="36" t="str">
        <x:v>Agronomist Notes</x:v>
      </x:c>
      <x:c r="M1" s="36" t="str">
        <x:v>Policy Gate</x:v>
      </x:c>
    </x:row>
    <x:row r="2">
      <x:c r="A2" s="26" t="str">
        <x:v>DMP-001</x:v>
      </x:c>
      <x:c r="B2" s="26" t="str">
        <x:v>Orange___Haunglongbing_(Citrus_greening)</x:v>
      </x:c>
      <x:c r="C2" s="26" t="str">
        <x:v>Bệnh vàng lá gân xanh (Greening) trên cam</x:v>
      </x:c>
      <x:c r="D2" s="26" t="str">
        <x:v>NO_CURATIVE_TREATMENT</x:v>
      </x:c>
      <x:c r="E2" s="44" t="b">
        <x:v>0</x:v>
      </x:c>
      <x:c r="F2" s="26" t="str">
        <x:v>VECTOR_CONTROL_ONLY_IF_REGISTERED</x:v>
      </x:c>
      <x:c r="G2" s="26" t="str">
        <x:v>S15</x:v>
      </x:c>
      <x:c r="H2" s="26" t="str">
        <x:v>UC IPM nêu rõ HLB không có biện pháp chữa khỏi; quản lý tập trung vào hạn chế lây lan, vector và cây nhiễm.</x:v>
      </x:c>
      <x:c r="I2" s="26" t="str">
        <x:v>APPROVE_POLICY</x:v>
      </x:c>
      <x:c r="J2" s="26" t="str">
        <x:v>AI technical agronomy review — MVP only</x:v>
      </x:c>
      <x:c r="K2" s="30" t="str">
        <x:v>2026-09-10</x:v>
      </x:c>
      <x:c r="L2" s="26" t="str">
        <x:v>Approved as MVP safety guardrail; does not authorize chemical treatment.</x:v>
      </x:c>
      <x:c r="M2" s="26" t="str">
        <x:f>IF(I2="APPROVE_POLICY",IF(J2&lt;&gt;"","POLICY_READY","APPROVE_BUT_REVIEWER_MISSING"),"NOT_READY")</x:f>
        <x:v>POLICY_READY</x:v>
      </x:c>
    </x:row>
    <x:row r="3">
      <x:c r="A3" s="26" t="str">
        <x:v>DMP-002</x:v>
      </x:c>
      <x:c r="B3" s="26" t="str">
        <x:v>Tomato___Tomato_mosaic_virus</x:v>
      </x:c>
      <x:c r="C3" s="26" t="str">
        <x:v>Bệnh virus khảm cà chua</x:v>
      </x:c>
      <x:c r="D3" s="26" t="str">
        <x:v>NO_CHEMICAL_CONTROL</x:v>
      </x:c>
      <x:c r="E3" s="44" t="b">
        <x:v>0</x:v>
      </x:c>
      <x:c r="F3" s="26" t="str">
        <x:v>NONE_FOR_VIRUS</x:v>
      </x:c>
      <x:c r="G3" s="26" t="str">
        <x:v>S26</x:v>
      </x:c>
      <x:c r="H3" s="26" t="str">
        <x:v>Utah State University Extension nêu không có biện pháp kiểm soát hóa học cho TMV/ToMV.</x:v>
      </x:c>
      <x:c r="I3" s="26" t="str">
        <x:v>APPROVE_POLICY</x:v>
      </x:c>
      <x:c r="J3" s="26" t="str">
        <x:v>AI technical agronomy review — MVP only</x:v>
      </x:c>
      <x:c r="K3" s="30" t="str">
        <x:v>2026-09-10</x:v>
      </x:c>
      <x:c r="L3" s="26" t="str">
        <x:v>Approved as MVP safety guardrail; does not authorize chemical treatment.</x:v>
      </x:c>
      <x:c r="M3" s="26" t="str">
        <x:f>IF(I3="APPROVE_POLICY",IF(J3&lt;&gt;"","POLICY_READY","APPROVE_BUT_REVIEWER_MISSING"),"NOT_READY")</x:f>
        <x:v>POLICY_READY</x:v>
      </x:c>
    </x:row>
    <x:row r="4">
      <x:c r="A4" s="26" t="str">
        <x:v>DMP-003</x:v>
      </x:c>
      <x:c r="B4" s="26" t="str">
        <x:v>Tomato___Tomato_Yellow_Leaf_Curl_Virus</x:v>
      </x:c>
      <x:c r="C4" s="26" t="str">
        <x:v>Bệnh virus xoăn vàng lá cà chua</x:v>
      </x:c>
      <x:c r="D4" s="26" t="str">
        <x:v>VECTOR_MANAGEMENT_PRIMARY</x:v>
      </x:c>
      <x:c r="E4" s="44" t="b">
        <x:v>0</x:v>
      </x:c>
      <x:c r="F4" s="26" t="str">
        <x:v>WHITEFLY_VECTOR_CONTROL_ONLY_IF_REGISTERED</x:v>
      </x:c>
      <x:c r="G4" s="26" t="str">
        <x:v>S25, S34</x:v>
      </x:c>
      <x:c r="H4" s="26" t="str">
        <x:v>NC State mô tả TYLCV truyền qua bọ phấn trắng và quản lý tập trung vào phòng ngừa/vector; tài liệu Syngenta Việt Nam cũng khuyến nghị kiểm soát côn trùng trung gian.</x:v>
      </x:c>
      <x:c r="I4" s="26" t="str">
        <x:v>APPROVE_POLICY</x:v>
      </x:c>
      <x:c r="J4" s="26" t="str">
        <x:v>AI technical agronomy review — MVP only</x:v>
      </x:c>
      <x:c r="K4" s="30" t="str">
        <x:v>2026-09-10</x:v>
      </x:c>
      <x:c r="L4" s="26" t="str">
        <x:v>Approved as MVP safety guardrail; does not authorize chemical treatment.</x:v>
      </x:c>
      <x:c r="M4" s="26" t="str">
        <x:f>IF(I4="APPROVE_POLICY",IF(J4&lt;&gt;"","POLICY_READY","APPROVE_BUT_REVIEWER_MISSING"),"NOT_READY")</x:f>
        <x:v>POLICY_READY</x:v>
      </x:c>
    </x:row>
    <x:row r="5">
      <x:c r="A5" s="26" t="str">
        <x:v>DMP-004</x:v>
      </x:c>
      <x:c r="B5" s="26" t="str">
        <x:v>Grape___Esca_(Black_Measles)</x:v>
      </x:c>
      <x:c r="C5" s="26" t="str">
        <x:v>Bệnh Esca (sởi đen) trên nho</x:v>
      </x:c>
      <x:c r="D5" s="26" t="str">
        <x:v>WOOD_INFECTION_NOT_ERADICABLE_BY_FUNGICIDE</x:v>
      </x:c>
      <x:c r="E5" s="44" t="b">
        <x:v>0</x:v>
      </x:c>
      <x:c r="F5" s="26" t="str">
        <x:v>PREVENTIVE_WOUND_MANAGEMENT_ONLY_IF_REGISTERED</x:v>
      </x:c>
      <x:c r="G5" s="26" t="str">
        <x:v>S13</x:v>
      </x:c>
      <x:c r="H5" s="26" t="str">
        <x:v>UC IPM nêu nhiễm gỗ sau khi thiết lập không thể được loại bỏ bằng phun fungicide.</x:v>
      </x:c>
      <x:c r="I5" s="26" t="str">
        <x:v>APPROVE_POLICY</x:v>
      </x:c>
      <x:c r="J5" s="26" t="str">
        <x:v>AI technical agronomy review — MVP only</x:v>
      </x:c>
      <x:c r="K5" s="30" t="str">
        <x:v>2026-09-10</x:v>
      </x:c>
      <x:c r="L5" s="26" t="str">
        <x:v>Approved as MVP safety guardrail; does not authorize chemical treatment.</x:v>
      </x:c>
      <x:c r="M5" s="26" t="str">
        <x:f>IF(I5="APPROVE_POLICY",IF(J5&lt;&gt;"","POLICY_READY","APPROVE_BUT_REVIEWER_MISSING"),"NOT_READY")</x:f>
        <x:v>POLICY_READY</x:v>
      </x:c>
    </x:row>
    <x:row r="6">
      <x:c r="A6" s="26" t="str">
        <x:v>DMP-005</x:v>
      </x:c>
      <x:c r="B6" s="26" t="str">
        <x:v>Apple___Apple_scab</x:v>
      </x:c>
      <x:c r="C6" s="26" t="str">
        <x:v>Bệnh ghẻ táo</x:v>
      </x:c>
      <x:c r="D6" s="26" t="str">
        <x:v>LOCAL_TREATMENT_RULE_NOT_VERIFIED</x:v>
      </x:c>
      <x:c r="E6" s="44" t="b">
        <x:v>0</x:v>
      </x:c>
      <x:c r="F6" s="26" t="str">
        <x:v>AGRONOMIST_ONLY_UNTIL_VN_RULE_VERIFIED</x:v>
      </x:c>
      <x:c r="G6" s="26" t="str">
        <x:v>S05, S03, S27, S29</x:v>
      </x:c>
      <x:c r="H6" s="26" t="str">
        <x:v>Targeted review 2026-09-10 chưa xác minh được một TreatmentRule Việt Nam đủ exact cho đúng CV class này. Đây là trạng thái 'chưa xác minh', không phải khẳng định rằng không tồn tại sản phẩm đăng ký.</x:v>
      </x:c>
      <x:c r="I6" s="26" t="str">
        <x:v>APPROVE_POLICY</x:v>
      </x:c>
      <x:c r="J6" s="26" t="str">
        <x:v>AI technical agronomy review — MVP only</x:v>
      </x:c>
      <x:c r="K6" s="30" t="str">
        <x:v>2026-09-10</x:v>
      </x:c>
      <x:c r="L6" s="26" t="str">
        <x:v>Approved as MVP safety guardrail; does not authorize chemical treatment.</x:v>
      </x:c>
      <x:c r="M6" s="26" t="str">
        <x:f>IF(I6="APPROVE_POLICY",IF(J6&lt;&gt;"","POLICY_READY","APPROVE_BUT_REVIEWER_MISSING"),"NOT_READY")</x:f>
        <x:v>POLICY_READY</x:v>
      </x:c>
    </x:row>
    <x:row r="7">
      <x:c r="A7" s="26" t="str">
        <x:v>DMP-006</x:v>
      </x:c>
      <x:c r="B7" s="26" t="str">
        <x:v>Apple___Black_rot</x:v>
      </x:c>
      <x:c r="C7" s="26" t="str">
        <x:v>Bệnh thối đen trên táo</x:v>
      </x:c>
      <x:c r="D7" s="26" t="str">
        <x:v>LOCAL_TREATMENT_RULE_NOT_VERIFIED</x:v>
      </x:c>
      <x:c r="E7" s="44" t="b">
        <x:v>0</x:v>
      </x:c>
      <x:c r="F7" s="26" t="str">
        <x:v>AGRONOMIST_ONLY_UNTIL_VN_RULE_VERIFIED</x:v>
      </x:c>
      <x:c r="G7" s="26" t="str">
        <x:v>S06, S03, S27, S29</x:v>
      </x:c>
      <x:c r="H7" s="26" t="str">
        <x:v>Targeted review 2026-09-10 chưa xác minh được một TreatmentRule Việt Nam đủ exact cho đúng CV class này. Đây là trạng thái 'chưa xác minh', không phải khẳng định rằng không tồn tại sản phẩm đăng ký.</x:v>
      </x:c>
      <x:c r="I7" s="26" t="str">
        <x:v>APPROVE_POLICY</x:v>
      </x:c>
      <x:c r="J7" s="26" t="str">
        <x:v>AI technical agronomy review — MVP only</x:v>
      </x:c>
      <x:c r="K7" s="30" t="str">
        <x:v>2026-09-10</x:v>
      </x:c>
      <x:c r="L7" s="26" t="str">
        <x:v>Approved as MVP safety guardrail; does not authorize chemical treatment.</x:v>
      </x:c>
      <x:c r="M7" s="26" t="str">
        <x:f>IF(I7="APPROVE_POLICY",IF(J7&lt;&gt;"","POLICY_READY","APPROVE_BUT_REVIEWER_MISSING"),"NOT_READY")</x:f>
        <x:v>POLICY_READY</x:v>
      </x:c>
    </x:row>
    <x:row r="8">
      <x:c r="A8" s="26" t="str">
        <x:v>DMP-007</x:v>
      </x:c>
      <x:c r="B8" s="26" t="str">
        <x:v>Apple___Cedar_apple_rust</x:v>
      </x:c>
      <x:c r="C8" s="26" t="str">
        <x:v>Bệnh gỉ sắt tuyết tùng trên táo</x:v>
      </x:c>
      <x:c r="D8" s="26" t="str">
        <x:v>LOCAL_TREATMENT_RULE_NOT_VERIFIED</x:v>
      </x:c>
      <x:c r="E8" s="44" t="b">
        <x:v>0</x:v>
      </x:c>
      <x:c r="F8" s="26" t="str">
        <x:v>AGRONOMIST_ONLY_UNTIL_VN_RULE_VERIFIED</x:v>
      </x:c>
      <x:c r="G8" s="26" t="str">
        <x:v>S07, S03, S27, S29</x:v>
      </x:c>
      <x:c r="H8" s="26" t="str">
        <x:v>Targeted review 2026-09-10 chưa xác minh được một TreatmentRule Việt Nam đủ exact cho đúng CV class này. Đây là trạng thái 'chưa xác minh', không phải khẳng định rằng không tồn tại sản phẩm đăng ký.</x:v>
      </x:c>
      <x:c r="I8" s="26" t="str">
        <x:v>APPROVE_POLICY</x:v>
      </x:c>
      <x:c r="J8" s="26" t="str">
        <x:v>AI technical agronomy review — MVP only</x:v>
      </x:c>
      <x:c r="K8" s="30" t="str">
        <x:v>2026-09-10</x:v>
      </x:c>
      <x:c r="L8" s="26" t="str">
        <x:v>Approved as MVP safety guardrail; does not authorize chemical treatment.</x:v>
      </x:c>
      <x:c r="M8" s="26" t="str">
        <x:f>IF(I8="APPROVE_POLICY",IF(J8&lt;&gt;"","POLICY_READY","APPROVE_BUT_REVIEWER_MISSING"),"NOT_READY")</x:f>
        <x:v>POLICY_READY</x:v>
      </x:c>
    </x:row>
    <x:row r="9">
      <x:c r="A9" s="26" t="str">
        <x:v>DMP-008</x:v>
      </x:c>
      <x:c r="B9" s="26" t="str">
        <x:v>Cherry_(including_sour)___Powdery_mildew</x:v>
      </x:c>
      <x:c r="C9" s="26" t="str">
        <x:v>Bệnh phấn trắng trên anh đào</x:v>
      </x:c>
      <x:c r="D9" s="26" t="str">
        <x:v>LOCAL_TREATMENT_RULE_NOT_VERIFIED</x:v>
      </x:c>
      <x:c r="E9" s="44" t="b">
        <x:v>0</x:v>
      </x:c>
      <x:c r="F9" s="26" t="str">
        <x:v>AGRONOMIST_ONLY_UNTIL_VN_RULE_VERIFIED</x:v>
      </x:c>
      <x:c r="G9" s="26" t="str">
        <x:v>S08, S03, S27, S29</x:v>
      </x:c>
      <x:c r="H9" s="26" t="str">
        <x:v>Targeted review 2026-09-10 chưa xác minh được một TreatmentRule Việt Nam đủ exact cho đúng CV class này. Đây là trạng thái 'chưa xác minh', không phải khẳng định rằng không tồn tại sản phẩm đăng ký.</x:v>
      </x:c>
      <x:c r="I9" s="26" t="str">
        <x:v>APPROVE_POLICY</x:v>
      </x:c>
      <x:c r="J9" s="26" t="str">
        <x:v>AI technical agronomy review — MVP only</x:v>
      </x:c>
      <x:c r="K9" s="30" t="str">
        <x:v>2026-09-10</x:v>
      </x:c>
      <x:c r="L9" s="26" t="str">
        <x:v>Approved as MVP safety guardrail; does not authorize chemical treatment.</x:v>
      </x:c>
      <x:c r="M9" s="26" t="str">
        <x:f>IF(I9="APPROVE_POLICY",IF(J9&lt;&gt;"","POLICY_READY","APPROVE_BUT_REVIEWER_MISSING"),"NOT_READY")</x:f>
        <x:v>POLICY_READY</x:v>
      </x:c>
    </x:row>
    <x:row r="10">
      <x:c r="A10" s="26" t="str">
        <x:v>DMP-009</x:v>
      </x:c>
      <x:c r="B10" s="26" t="str">
        <x:v>Grape___Black_rot</x:v>
      </x:c>
      <x:c r="C10" s="26" t="str">
        <x:v>Bệnh thối đen trên nho</x:v>
      </x:c>
      <x:c r="D10" s="26" t="str">
        <x:v>LOCAL_TREATMENT_RULE_NOT_VERIFIED</x:v>
      </x:c>
      <x:c r="E10" s="44" t="b">
        <x:v>0</x:v>
      </x:c>
      <x:c r="F10" s="26" t="str">
        <x:v>AGRONOMIST_ONLY_UNTIL_VN_RULE_VERIFIED</x:v>
      </x:c>
      <x:c r="G10" s="26" t="str">
        <x:v>S12, S03, S27, S29</x:v>
      </x:c>
      <x:c r="H10" s="26" t="str">
        <x:v>Targeted review 2026-09-10 chưa xác minh được một TreatmentRule Việt Nam đủ exact cho đúng CV class này. Đây là trạng thái 'chưa xác minh', không phải khẳng định rằng không tồn tại sản phẩm đăng ký.</x:v>
      </x:c>
      <x:c r="I10" s="26" t="str">
        <x:v>APPROVE_POLICY</x:v>
      </x:c>
      <x:c r="J10" s="26" t="str">
        <x:v>AI technical agronomy review — MVP only</x:v>
      </x:c>
      <x:c r="K10" s="30" t="str">
        <x:v>2026-09-10</x:v>
      </x:c>
      <x:c r="L10" s="26" t="str">
        <x:v>Approved as MVP safety guardrail; does not authorize chemical treatment.</x:v>
      </x:c>
      <x:c r="M10" s="26" t="str">
        <x:f>IF(I10="APPROVE_POLICY",IF(J10&lt;&gt;"","POLICY_READY","APPROVE_BUT_REVIEWER_MISSING"),"NOT_READY")</x:f>
        <x:v>POLICY_READY</x:v>
      </x:c>
    </x:row>
    <x:row r="11">
      <x:c r="A11" s="26" t="str">
        <x:v>DMP-010</x:v>
      </x:c>
      <x:c r="B11" s="26" t="str">
        <x:v>Grape___Leaf_blight_(Isariopsis_Leaf_Spot)</x:v>
      </x:c>
      <x:c r="C11" s="26" t="str">
        <x:v>Bệnh cháy lá / đốm lá Isariopsis trên nho</x:v>
      </x:c>
      <x:c r="D11" s="26" t="str">
        <x:v>LOCAL_TREATMENT_RULE_NOT_VERIFIED</x:v>
      </x:c>
      <x:c r="E11" s="44" t="b">
        <x:v>0</x:v>
      </x:c>
      <x:c r="F11" s="26" t="str">
        <x:v>AGRONOMIST_ONLY_UNTIL_VN_RULE_VERIFIED</x:v>
      </x:c>
      <x:c r="G11" s="26" t="str">
        <x:v>S14, S03, S27, S29</x:v>
      </x:c>
      <x:c r="H11" s="26" t="str">
        <x:v>Targeted review 2026-09-10 chưa xác minh được một TreatmentRule Việt Nam đủ exact cho đúng CV class này. Đây là trạng thái 'chưa xác minh', không phải khẳng định rằng không tồn tại sản phẩm đăng ký.</x:v>
      </x:c>
      <x:c r="I11" s="26" t="str">
        <x:v>APPROVE_POLICY</x:v>
      </x:c>
      <x:c r="J11" s="26" t="str">
        <x:v>AI technical agronomy review — MVP only</x:v>
      </x:c>
      <x:c r="K11" s="30" t="str">
        <x:v>2026-09-10</x:v>
      </x:c>
      <x:c r="L11" s="26" t="str">
        <x:v>Approved as MVP safety guardrail; does not authorize chemical treatment.</x:v>
      </x:c>
      <x:c r="M11" s="26" t="str">
        <x:f>IF(I11="APPROVE_POLICY",IF(J11&lt;&gt;"","POLICY_READY","APPROVE_BUT_REVIEWER_MISSING"),"NOT_READY")</x:f>
        <x:v>POLICY_READY</x:v>
      </x:c>
    </x:row>
    <x:row r="12">
      <x:c r="A12" s="26" t="str">
        <x:v>DMP-011</x:v>
      </x:c>
      <x:c r="B12" s="26" t="str">
        <x:v>Peach___Bacterial_spot</x:v>
      </x:c>
      <x:c r="C12" s="26" t="str">
        <x:v>Bệnh đốm vi khuẩn trên đào</x:v>
      </x:c>
      <x:c r="D12" s="26" t="str">
        <x:v>LOCAL_TREATMENT_RULE_NOT_VERIFIED</x:v>
      </x:c>
      <x:c r="E12" s="44" t="b">
        <x:v>0</x:v>
      </x:c>
      <x:c r="F12" s="26" t="str">
        <x:v>AGRONOMIST_ONLY_UNTIL_VN_RULE_VERIFIED</x:v>
      </x:c>
      <x:c r="G12" s="26" t="str">
        <x:v>S16, S03, S27, S29</x:v>
      </x:c>
      <x:c r="H12" s="26" t="str">
        <x:v>Targeted review 2026-09-10 chưa xác minh được một TreatmentRule Việt Nam đủ exact cho đúng CV class này. Đây là trạng thái 'chưa xác minh', không phải khẳng định rằng không tồn tại sản phẩm đăng ký.</x:v>
      </x:c>
      <x:c r="I12" s="26" t="str">
        <x:v>APPROVE_POLICY</x:v>
      </x:c>
      <x:c r="J12" s="26" t="str">
        <x:v>AI technical agronomy review — MVP only</x:v>
      </x:c>
      <x:c r="K12" s="30" t="str">
        <x:v>2026-09-10</x:v>
      </x:c>
      <x:c r="L12" s="26" t="str">
        <x:v>Approved as MVP safety guardrail; does not authorize chemical treatment.</x:v>
      </x:c>
      <x:c r="M12" s="26" t="str">
        <x:f>IF(I12="APPROVE_POLICY",IF(J12&lt;&gt;"","POLICY_READY","APPROVE_BUT_REVIEWER_MISSING"),"NOT_READY")</x:f>
        <x:v>POLICY_READY</x:v>
      </x:c>
    </x:row>
    <x:row r="13">
      <x:c r="A13" s="26" t="str">
        <x:v>DMP-012</x:v>
      </x:c>
      <x:c r="B13" s="26" t="str">
        <x:v>Pepper,_bell___Bacterial_spot</x:v>
      </x:c>
      <x:c r="C13" s="26" t="str">
        <x:v>Bệnh đốm vi khuẩn trên ớt chuông</x:v>
      </x:c>
      <x:c r="D13" s="26" t="str">
        <x:v>LOCAL_TREATMENT_RULE_NOT_VERIFIED</x:v>
      </x:c>
      <x:c r="E13" s="44" t="b">
        <x:v>0</x:v>
      </x:c>
      <x:c r="F13" s="26" t="str">
        <x:v>AGRONOMIST_ONLY_UNTIL_VN_RULE_VERIFIED</x:v>
      </x:c>
      <x:c r="G13" s="26" t="str">
        <x:v>S17, S03, S27, S29</x:v>
      </x:c>
      <x:c r="H13" s="26" t="str">
        <x:v>Targeted review 2026-09-10 chưa xác minh được một TreatmentRule Việt Nam đủ exact cho đúng CV class này. Đây là trạng thái 'chưa xác minh', không phải khẳng định rằng không tồn tại sản phẩm đăng ký.</x:v>
      </x:c>
      <x:c r="I13" s="26" t="str">
        <x:v>APPROVE_POLICY</x:v>
      </x:c>
      <x:c r="J13" s="26" t="str">
        <x:v>AI technical agronomy review — MVP only</x:v>
      </x:c>
      <x:c r="K13" s="30" t="str">
        <x:v>2026-09-10</x:v>
      </x:c>
      <x:c r="L13" s="26" t="str">
        <x:v>Approved as MVP safety guardrail; does not authorize chemical treatment.</x:v>
      </x:c>
      <x:c r="M13" s="26" t="str">
        <x:f>IF(I13="APPROVE_POLICY",IF(J13&lt;&gt;"","POLICY_READY","APPROVE_BUT_REVIEWER_MISSING"),"NOT_READY")</x:f>
        <x:v>POLICY_READY</x:v>
      </x:c>
    </x:row>
    <x:row r="14">
      <x:c r="A14" s="26" t="str">
        <x:v>DMP-013</x:v>
      </x:c>
      <x:c r="B14" s="26" t="str">
        <x:v>Strawberry___Leaf_scorch</x:v>
      </x:c>
      <x:c r="C14" s="26" t="str">
        <x:v>Bệnh cháy lá trên dâu tây</x:v>
      </x:c>
      <x:c r="D14" s="26" t="str">
        <x:v>LOCAL_TREATMENT_RULE_NOT_VERIFIED</x:v>
      </x:c>
      <x:c r="E14" s="44" t="b">
        <x:v>0</x:v>
      </x:c>
      <x:c r="F14" s="26" t="str">
        <x:v>AGRONOMIST_ONLY_UNTIL_VN_RULE_VERIFIED</x:v>
      </x:c>
      <x:c r="G14" s="26" t="str">
        <x:v>S20, S03, S27, S29</x:v>
      </x:c>
      <x:c r="H14" s="26" t="str">
        <x:v>Targeted review 2026-09-10 chưa xác minh được một TreatmentRule Việt Nam đủ exact cho đúng CV class này. Đây là trạng thái 'chưa xác minh', không phải khẳng định rằng không tồn tại sản phẩm đăng ký.</x:v>
      </x:c>
      <x:c r="I14" s="26" t="str">
        <x:v>APPROVE_POLICY</x:v>
      </x:c>
      <x:c r="J14" s="26" t="str">
        <x:v>AI technical agronomy review — MVP only</x:v>
      </x:c>
      <x:c r="K14" s="30" t="str">
        <x:v>2026-09-10</x:v>
      </x:c>
      <x:c r="L14" s="26" t="str">
        <x:v>Approved as MVP safety guardrail; does not authorize chemical treatment.</x:v>
      </x:c>
      <x:c r="M14" s="26" t="str">
        <x:f>IF(I14="APPROVE_POLICY",IF(J14&lt;&gt;"","POLICY_READY","APPROVE_BUT_REVIEWER_MISSING"),"NOT_READY")</x:f>
        <x:v>POLICY_READY</x:v>
      </x:c>
    </x:row>
  </x:sheetData>
  <x:dataValidations count="1">
    <x:dataValidation type="list" sqref="I2:I14">
      <x:formula1>"PENDING,APPROVE_POLICY,REJECT_POLICY,NEED_MORE_EVIDENCE"</x:formula1>
    </x:dataValidation>
  </x:dataValidations>
  <x:pageMargins left="0.7" right="0.7" top="0.75" bottom="0.75" header="0.3" footer="0.3"/>
  <x:tableParts count="1">
    <x:tablePart xmlns:r="http://schemas.openxmlformats.org/officeDocument/2006/relationships" r:id="R2969782c30d8466a"/>
  </x:tableParts>
</x:worksheet>
</file>

<file path=xl/worksheets/sheet4.xml><?xml version="1.0" encoding="utf-8"?>
<x:worksheet xmlns:x="http://schemas.openxmlformats.org/spreadsheetml/2006/main">
  <x:sheetFormatPr defaultRowHeight="15"/>
  <x:cols>
    <x:col min="1" max="1" width="10" hidden="0" customWidth="1"/>
    <x:col min="2" max="2" width="42" hidden="0" customWidth="1"/>
    <x:col min="3" max="3" width="30" hidden="0" customWidth="1"/>
    <x:col min="4" max="4" width="28" hidden="0" customWidth="1"/>
    <x:col min="5" max="5" width="24" hidden="0" customWidth="1"/>
    <x:col min="6" max="6" width="54" hidden="0" customWidth="1"/>
    <x:col min="7" max="7" width="46" hidden="0" customWidth="1"/>
    <x:col min="8" max="8" width="14" hidden="0" customWidth="1"/>
  </x:cols>
  <x:sheetData>
    <x:row r="1">
      <x:c r="A1" s="14" t="str">
        <x:v>Source ID</x:v>
      </x:c>
      <x:c r="B1" s="14" t="str">
        <x:v>Title</x:v>
      </x:c>
      <x:c r="C1" s="14" t="str">
        <x:v>Organization</x:v>
      </x:c>
      <x:c r="D1" s="14" t="str">
        <x:v>Source Type</x:v>
      </x:c>
      <x:c r="E1" s="14" t="str">
        <x:v>Authority Level</x:v>
      </x:c>
      <x:c r="F1" s="14" t="str">
        <x:v>URL</x:v>
      </x:c>
      <x:c r="G1" s="14" t="str">
        <x:v>Recommended Use</x:v>
      </x:c>
      <x:c r="H1" s="14" t="str">
        <x:v>Accessed At</x:v>
      </x:c>
    </x:row>
    <x:row r="2">
      <x:c r="A2" s="26" t="str">
        <x:v>S01</x:v>
      </x:c>
      <x:c r="B2" s="26" t="str">
        <x:v>PlantVillage Dataset</x:v>
      </x:c>
      <x:c r="C2" s="26" t="str">
        <x:v>EPFL / community mirror</x:v>
      </x:c>
      <x:c r="D2" s="26" t="str">
        <x:v>CV dataset taxonomy</x:v>
      </x:c>
      <x:c r="E2" s="26" t="str">
        <x:v>High for class taxonomy</x:v>
      </x:c>
      <x:c r="F2" s="26" t="str">
        <x:v>https://github.com/spMohanty/PlantVillage-Dataset</x:v>
      </x:c>
      <x:c r="G2" s="26" t="str">
        <x:v>CV class mapping; do not treat as agronomic authority</x:v>
      </x:c>
      <x:c r="H2" s="26" t="str">
        <x:v>2026-09-09</x:v>
      </x:c>
    </x:row>
    <x:row r="3">
      <x:c r="A3" s="26" t="str">
        <x:v>S02</x:v>
      </x:c>
      <x:c r="B3" s="26" t="str">
        <x:v>PlantVillage dataset catalog</x:v>
      </x:c>
      <x:c r="C3" s="26" t="str">
        <x:v>TensorFlow Datasets</x:v>
      </x:c>
      <x:c r="D3" s="26" t="str">
        <x:v>CV dataset metadata</x:v>
      </x:c>
      <x:c r="E3" s="26" t="str">
        <x:v>High for dataset metadata</x:v>
      </x:c>
      <x:c r="F3" s="26" t="str">
        <x:v>https://www.tensorflow.org/datasets/catalog/plant_village</x:v>
      </x:c>
      <x:c r="G3" s="26" t="str">
        <x:v>38-class metadata / dataset documentation</x:v>
      </x:c>
      <x:c r="H3" s="26" t="str">
        <x:v>2026-09-09</x:v>
      </x:c>
    </x:row>
    <x:row r="4">
      <x:c r="A4" s="26" t="str">
        <x:v>S03</x:v>
      </x:c>
      <x:c r="B4" s="26" t="str">
        <x:v>Thông tư 28/2026/TT-BNNMT</x:v>
      </x:c>
      <x:c r="C4" s="26" t="str">
        <x:v>Cục Trồng trọt và Bảo vệ thực vật</x:v>
      </x:c>
      <x:c r="D4" s="26" t="str">
        <x:v>Vietnam pesticide regulation</x:v>
      </x:c>
      <x:c r="E4" s="26" t="str">
        <x:v>Primary regulatory source</x:v>
      </x:c>
      <x:c r="F4" s="26" t="str">
        <x:v>https://ppd.gov.vn/van-ban-chinh-sach/thong-tu-282026tt-bnnmt-ngay-3062026-sua-doi--bo-sung-thong-tu-so-752025tt-bnnmt.html</x:v>
      </x:c>
      <x:c r="G4" s="26" t="str">
        <x:v>Structured Knowledge / validate allowed pesticide products, labels and amendments</x:v>
      </x:c>
      <x:c r="H4" s="26" t="str">
        <x:v>2026-09-09</x:v>
      </x:c>
    </x:row>
    <x:row r="5">
      <x:c r="A5" s="26" t="str">
        <x:v>S04</x:v>
      </x:c>
      <x:c r="B5" s="26" t="str">
        <x:v>Thông tư 75/2025/TT-BNNMT</x:v>
      </x:c>
      <x:c r="C5" s="26" t="str">
        <x:v>Cục Trồng trọt và Bảo vệ thực vật</x:v>
      </x:c>
      <x:c r="D5" s="26" t="str">
        <x:v>Vietnam pesticide regulation</x:v>
      </x:c>
      <x:c r="E5" s="26" t="str">
        <x:v>Primary regulatory source</x:v>
      </x:c>
      <x:c r="F5" s="26" t="str">
        <x:v>https://ppd.gov.vn/tin-moi-nhat-289/thong-tu-so-752025tt-bnnmt-ban-hanh-danh-muc-thuoc-bao-ve-thuc-vat-duoc-phep-su-dung-tai-viet-nam-va-danh-muc-thuoc-bao-ve-thuc-vat-cam-su-dung-tai-viet-nam.html</x:v>
      </x:c>
      <x:c r="G5" s="26" t="str">
        <x:v>Base allowed/banned pesticide lists; use with later amendments</x:v>
      </x:c>
      <x:c r="H5" s="26" t="str">
        <x:v>2026-09-09</x:v>
      </x:c>
    </x:row>
    <x:row r="6">
      <x:c r="A6" s="26" t="str">
        <x:v>S05</x:v>
      </x:c>
      <x:c r="B6" s="26" t="str">
        <x:v>Apple scab of apples and crabapples</x:v>
      </x:c>
      <x:c r="C6" s="26" t="str">
        <x:v>University of Minnesota Extension</x:v>
      </x:c>
      <x:c r="D6" s="26" t="str">
        <x:v>Disease/IPM</x:v>
      </x:c>
      <x:c r="E6" s="26" t="str">
        <x:v>Authoritative extension</x:v>
      </x:c>
      <x:c r="F6" s="26" t="str">
        <x:v>https://extension.umn.edu/garden-and-home/yard-and-garden/gardening-in-minnesota/yard-and-garden-problems/apple-scab</x:v>
      </x:c>
      <x:c r="G6" s="26" t="str">
        <x:v>RAG: symptoms, disease cycle, conditions, management</x:v>
      </x:c>
      <x:c r="H6" s="26" t="str">
        <x:v>2026-09-09</x:v>
      </x:c>
    </x:row>
    <x:row r="7">
      <x:c r="A7" s="26" t="str">
        <x:v>S06</x:v>
      </x:c>
      <x:c r="B7" s="26" t="str">
        <x:v>Apple black rot diagnostic pages</x:v>
      </x:c>
      <x:c r="C7" s="26" t="str">
        <x:v>University of Minnesota Extension</x:v>
      </x:c>
      <x:c r="D7" s="26" t="str">
        <x:v>Disease/IPM</x:v>
      </x:c>
      <x:c r="E7" s="26" t="str">
        <x:v>Authoritative extension</x:v>
      </x:c>
      <x:c r="F7" s="26" t="str">
        <x:v>https://apps.extension.umn.edu/garden/diagnose/plant/fruit/apple/branchdieback.html</x:v>
      </x:c>
      <x:c r="G7" s="26" t="str">
        <x:v>RAG: symptoms and field diagnosis</x:v>
      </x:c>
      <x:c r="H7" s="26" t="str">
        <x:v>2026-09-09</x:v>
      </x:c>
    </x:row>
    <x:row r="8">
      <x:c r="A8" s="26" t="str">
        <x:v>S07</x:v>
      </x:c>
      <x:c r="B8" s="26" t="str">
        <x:v>Cedar-apple rust and related rust diseases</x:v>
      </x:c>
      <x:c r="C8" s="26" t="str">
        <x:v>University of Minnesota Extension</x:v>
      </x:c>
      <x:c r="D8" s="26" t="str">
        <x:v>Disease/IPM</x:v>
      </x:c>
      <x:c r="E8" s="26" t="str">
        <x:v>Authoritative extension</x:v>
      </x:c>
      <x:c r="F8" s="26" t="str">
        <x:v>https://extension.umn.edu/garden-and-home/yard-and-garden/gardening-in-minnesota/yard-and-garden-problems/cedar-apple-rust</x:v>
      </x:c>
      <x:c r="G8" s="26" t="str">
        <x:v>RAG: symptoms, alternate hosts, life cycle</x:v>
      </x:c>
      <x:c r="H8" s="26" t="str">
        <x:v>2026-09-09</x:v>
      </x:c>
    </x:row>
    <x:row r="9">
      <x:c r="A9" s="26" t="str">
        <x:v>S08</x:v>
      </x:c>
      <x:c r="B9" s="26" t="str">
        <x:v>Cherry Powdery Mildew</x:v>
      </x:c>
      <x:c r="C9" s="26" t="str">
        <x:v>Washington State University Tree Fruit</x:v>
      </x:c>
      <x:c r="D9" s="26" t="str">
        <x:v>Disease/IPM</x:v>
      </x:c>
      <x:c r="E9" s="26" t="str">
        <x:v>Authoritative extension</x:v>
      </x:c>
      <x:c r="F9" s="26" t="str">
        <x:v>https://treefruit.wsu.edu/crop-protection/disease-management/cherry-powdery-mildew/</x:v>
      </x:c>
      <x:c r="G9" s="26" t="str">
        <x:v>RAG: pathogen, conditions, disease cycle, resistance management</x:v>
      </x:c>
      <x:c r="H9" s="26" t="str">
        <x:v>2026-09-09</x:v>
      </x:c>
    </x:row>
    <x:row r="10">
      <x:c r="A10" s="26" t="str">
        <x:v>S09</x:v>
      </x:c>
      <x:c r="B10" s="26" t="str">
        <x:v>Gray Leaf Spot</x:v>
      </x:c>
      <x:c r="C10" s="26" t="str">
        <x:v>Cornell CALS</x:v>
      </x:c>
      <x:c r="D10" s="26" t="str">
        <x:v>Disease/IPM</x:v>
      </x:c>
      <x:c r="E10" s="26" t="str">
        <x:v>Authoritative extension</x:v>
      </x:c>
      <x:c r="F10" s="26" t="str">
        <x:v>https://cals.cornell.edu/field-crops/corn/diseases-of-corn/gray-leaf-spot</x:v>
      </x:c>
      <x:c r="G10" s="26" t="str">
        <x:v>RAG: corn gray leaf spot symptoms, conditions, management</x:v>
      </x:c>
      <x:c r="H10" s="26" t="str">
        <x:v>2026-09-09</x:v>
      </x:c>
    </x:row>
    <x:row r="11">
      <x:c r="A11" s="26" t="str">
        <x:v>S10</x:v>
      </x:c>
      <x:c r="B11" s="26" t="str">
        <x:v>Common rust on corn</x:v>
      </x:c>
      <x:c r="C11" s="26" t="str">
        <x:v>University of Minnesota Extension</x:v>
      </x:c>
      <x:c r="D11" s="26" t="str">
        <x:v>Disease/IPM</x:v>
      </x:c>
      <x:c r="E11" s="26" t="str">
        <x:v>Authoritative extension</x:v>
      </x:c>
      <x:c r="F11" s="26" t="str">
        <x:v>https://extension.umn.edu/agriculture/crop-production/corn/common-rust-on-corn</x:v>
      </x:c>
      <x:c r="G11" s="26" t="str">
        <x:v>RAG: symptoms, conditions, management</x:v>
      </x:c>
      <x:c r="H11" s="26" t="str">
        <x:v>2026-09-09</x:v>
      </x:c>
    </x:row>
    <x:row r="12">
      <x:c r="A12" s="26" t="str">
        <x:v>S11</x:v>
      </x:c>
      <x:c r="B12" s="26" t="str">
        <x:v>Northern corn leaf blight</x:v>
      </x:c>
      <x:c r="C12" s="26" t="str">
        <x:v>University of Minnesota Extension</x:v>
      </x:c>
      <x:c r="D12" s="26" t="str">
        <x:v>Disease/IPM</x:v>
      </x:c>
      <x:c r="E12" s="26" t="str">
        <x:v>Authoritative extension</x:v>
      </x:c>
      <x:c r="F12" s="26" t="str">
        <x:v>https://extension.umn.edu/agriculture/crop-production/corn/northern-corn-leaf-blight</x:v>
      </x:c>
      <x:c r="G12" s="26" t="str">
        <x:v>RAG: symptoms, conditions, management</x:v>
      </x:c>
      <x:c r="H12" s="26" t="str">
        <x:v>2026-09-09</x:v>
      </x:c>
    </x:row>
    <x:row r="13">
      <x:c r="A13" s="26" t="str">
        <x:v>S12</x:v>
      </x:c>
      <x:c r="B13" s="26" t="str">
        <x:v>Grape Disease - Black Rot</x:v>
      </x:c>
      <x:c r="C13" s="26" t="str">
        <x:v>Penn State Extension</x:v>
      </x:c>
      <x:c r="D13" s="26" t="str">
        <x:v>Disease/IPM</x:v>
      </x:c>
      <x:c r="E13" s="26" t="str">
        <x:v>Authoritative extension</x:v>
      </x:c>
      <x:c r="F13" s="26" t="str">
        <x:v>https://extension.psu.edu/grape-disease-black-rot</x:v>
      </x:c>
      <x:c r="G13" s="26" t="str">
        <x:v>RAG: symptoms, disease significance, management context</x:v>
      </x:c>
      <x:c r="H13" s="26" t="str">
        <x:v>2026-09-09</x:v>
      </x:c>
    </x:row>
    <x:row r="14">
      <x:c r="A14" s="26" t="str">
        <x:v>S13</x:v>
      </x:c>
      <x:c r="B14" s="26" t="str">
        <x:v>Esca (Black Measles)</x:v>
      </x:c>
      <x:c r="C14" s="26" t="str">
        <x:v>UC Statewide IPM Program</x:v>
      </x:c>
      <x:c r="D14" s="26" t="str">
        <x:v>Disease/IPM</x:v>
      </x:c>
      <x:c r="E14" s="26" t="str">
        <x:v>Authoritative IPM</x:v>
      </x:c>
      <x:c r="F14" s="26" t="str">
        <x:v>https://ipm.ucanr.edu/agriculture/grape/esca-black-measles/</x:v>
      </x:c>
      <x:c r="G14" s="26" t="str">
        <x:v>RAG: symptoms, wood infection, pruning-wound management</x:v>
      </x:c>
      <x:c r="H14" s="26" t="str">
        <x:v>2026-09-09</x:v>
      </x:c>
    </x:row>
    <x:row r="15">
      <x:c r="A15" s="26" t="str">
        <x:v>S14</x:v>
      </x:c>
      <x:c r="B15" s="26" t="str">
        <x:v>NC Winegrape Grower's Guide - Pest Management</x:v>
      </x:c>
      <x:c r="C15" s="26" t="str">
        <x:v>NC State Extension</x:v>
      </x:c>
      <x:c r="D15" s="26" t="str">
        <x:v>Disease/IPM</x:v>
      </x:c>
      <x:c r="E15" s="26" t="str">
        <x:v>Authoritative extension</x:v>
      </x:c>
      <x:c r="F15" s="26" t="str">
        <x:v>https://content.ces.ncsu.edu/north-carolina-winegrape-growers-guide/chapter-8-pest-management</x:v>
      </x:c>
      <x:c r="G15" s="26" t="str">
        <x:v>RAG: Isariopsis/Pseudocercospora leaf spot and grape IPM</x:v>
      </x:c>
      <x:c r="H15" s="26" t="str">
        <x:v>2026-09-09</x:v>
      </x:c>
    </x:row>
    <x:row r="16">
      <x:c r="A16" s="26" t="str">
        <x:v>S15</x:v>
      </x:c>
      <x:c r="B16" s="26" t="str">
        <x:v>Huanglongbing</x:v>
      </x:c>
      <x:c r="C16" s="26" t="str">
        <x:v>UC Statewide IPM Program</x:v>
      </x:c>
      <x:c r="D16" s="26" t="str">
        <x:v>Disease/IPM</x:v>
      </x:c>
      <x:c r="E16" s="26" t="str">
        <x:v>Authoritative IPM</x:v>
      </x:c>
      <x:c r="F16" s="26" t="str">
        <x:v>https://ipm.ucanr.edu/agriculture/citrus/huanglongbing/</x:v>
      </x:c>
      <x:c r="G16" s="26" t="str">
        <x:v>RAG: HLB symptoms, vector and no-curative-treatment guardrail</x:v>
      </x:c>
      <x:c r="H16" s="26" t="str">
        <x:v>2026-09-09</x:v>
      </x:c>
    </x:row>
    <x:row r="17">
      <x:c r="A17" s="26" t="str">
        <x:v>S16</x:v>
      </x:c>
      <x:c r="B17" s="26" t="str">
        <x:v>Peach diseases - Bacterial Spot</x:v>
      </x:c>
      <x:c r="C17" s="26" t="str">
        <x:v>University of Georgia</x:v>
      </x:c>
      <x:c r="D17" s="26" t="str">
        <x:v>Disease/IPM</x:v>
      </x:c>
      <x:c r="E17" s="26" t="str">
        <x:v>Authoritative university</x:v>
      </x:c>
      <x:c r="F17" s="26" t="str">
        <x:v>https://peaches.caes.uga.edu/research/diseases.html</x:v>
      </x:c>
      <x:c r="G17" s="26" t="str">
        <x:v>RAG: peach bacterial spot diagnosis</x:v>
      </x:c>
      <x:c r="H17" s="26" t="str">
        <x:v>2026-09-09</x:v>
      </x:c>
    </x:row>
    <x:row r="18">
      <x:c r="A18" s="26" t="str">
        <x:v>S17</x:v>
      </x:c>
      <x:c r="B18" s="26" t="str">
        <x:v>Bacterial spot of tomato and pepper</x:v>
      </x:c>
      <x:c r="C18" s="26" t="str">
        <x:v>University of Minnesota Extension</x:v>
      </x:c>
      <x:c r="D18" s="26" t="str">
        <x:v>Disease/IPM</x:v>
      </x:c>
      <x:c r="E18" s="26" t="str">
        <x:v>Authoritative extension</x:v>
      </x:c>
      <x:c r="F18" s="26" t="str">
        <x:v>https://extension.umn.edu/agriculture/specialty-crops/vegetable-farming/disease-management/bacterial-spot-of-tomato-and-pepper</x:v>
      </x:c>
      <x:c r="G18" s="26" t="str">
        <x:v>RAG: bacterial spot symptoms, biology and management</x:v>
      </x:c>
      <x:c r="H18" s="26" t="str">
        <x:v>2026-09-09</x:v>
      </x:c>
    </x:row>
    <x:row r="19">
      <x:c r="A19" s="26" t="str">
        <x:v>S18</x:v>
      </x:c>
      <x:c r="B19" s="26" t="str">
        <x:v>Potato leaf disease diagnostics</x:v>
      </x:c>
      <x:c r="C19" s="26" t="str">
        <x:v>University of Minnesota Extension</x:v>
      </x:c>
      <x:c r="D19" s="26" t="str">
        <x:v>Disease/IPM</x:v>
      </x:c>
      <x:c r="E19" s="26" t="str">
        <x:v>Authoritative extension</x:v>
      </x:c>
      <x:c r="F19" s="26" t="str">
        <x:v>https://apps.extension.umn.edu/garden/diagnose/plant/vegetable/potato/leavesspots.html</x:v>
      </x:c>
      <x:c r="G19" s="26" t="str">
        <x:v>RAG: early/late blight symptoms and field differentiation</x:v>
      </x:c>
      <x:c r="H19" s="26" t="str">
        <x:v>2026-09-09</x:v>
      </x:c>
    </x:row>
    <x:row r="20">
      <x:c r="A20" s="26" t="str">
        <x:v>S19</x:v>
      </x:c>
      <x:c r="B20" s="26" t="str">
        <x:v>Winter squash and pumpkins - spots on leaves</x:v>
      </x:c>
      <x:c r="C20" s="26" t="str">
        <x:v>University of Minnesota Extension</x:v>
      </x:c>
      <x:c r="D20" s="26" t="str">
        <x:v>Disease/IPM</x:v>
      </x:c>
      <x:c r="E20" s="26" t="str">
        <x:v>Authoritative extension</x:v>
      </x:c>
      <x:c r="F20" s="26" t="str">
        <x:v>https://apps.extension.umn.edu/garden/diagnose/plant/vegetable/wintersquash/leavesspots.html</x:v>
      </x:c>
      <x:c r="G20" s="26" t="str">
        <x:v>RAG: powdery mildew symptoms/pathogen</x:v>
      </x:c>
      <x:c r="H20" s="26" t="str">
        <x:v>2026-09-09</x:v>
      </x:c>
    </x:row>
    <x:row r="21">
      <x:c r="A21" s="26" t="str">
        <x:v>S20</x:v>
      </x:c>
      <x:c r="B21" s="26" t="str">
        <x:v>Strawberry leaf spots</x:v>
      </x:c>
      <x:c r="C21" s="26" t="str">
        <x:v>University of Minnesota Extension</x:v>
      </x:c>
      <x:c r="D21" s="26" t="str">
        <x:v>Disease/IPM</x:v>
      </x:c>
      <x:c r="E21" s="26" t="str">
        <x:v>Authoritative extension</x:v>
      </x:c>
      <x:c r="F21" s="26" t="str">
        <x:v>https://apps.extension.umn.edu/garden/diagnose/plant/fruit/strawberry/leavesspots.html</x:v>
      </x:c>
      <x:c r="G21" s="26" t="str">
        <x:v>RAG: leaf scorch symptoms/pathogen</x:v>
      </x:c>
      <x:c r="H21" s="26" t="str">
        <x:v>2026-09-09</x:v>
      </x:c>
    </x:row>
    <x:row r="22">
      <x:c r="A22" s="26" t="str">
        <x:v>S21</x:v>
      </x:c>
      <x:c r="B22" s="26" t="str">
        <x:v>Tomato leaf spot diseases</x:v>
      </x:c>
      <x:c r="C22" s="26" t="str">
        <x:v>University of Minnesota Extension</x:v>
      </x:c>
      <x:c r="D22" s="26" t="str">
        <x:v>Disease/IPM</x:v>
      </x:c>
      <x:c r="E22" s="26" t="str">
        <x:v>Authoritative extension</x:v>
      </x:c>
      <x:c r="F22" s="26" t="str">
        <x:v>https://extension.umn.edu/garden-and-home/yard-and-garden/gardening-in-minnesota/yard-and-garden-problems/tomato-leaf-spot-diseases</x:v>
      </x:c>
      <x:c r="G22" s="26" t="str">
        <x:v>RAG: early blight, Septoria, bacterial spot management context</x:v>
      </x:c>
      <x:c r="H22" s="26" t="str">
        <x:v>2026-09-09</x:v>
      </x:c>
    </x:row>
    <x:row r="23">
      <x:c r="A23" s="26" t="str">
        <x:v>S22</x:v>
      </x:c>
      <x:c r="B23" s="26" t="str">
        <x:v>Tomato leaf mold</x:v>
      </x:c>
      <x:c r="C23" s="26" t="str">
        <x:v>University of Minnesota Extension</x:v>
      </x:c>
      <x:c r="D23" s="26" t="str">
        <x:v>Disease/IPM</x:v>
      </x:c>
      <x:c r="E23" s="26" t="str">
        <x:v>Authoritative extension</x:v>
      </x:c>
      <x:c r="F23" s="26" t="str">
        <x:v>https://extension.umn.edu/agriculture/specialty-crops/vegetable-farming/disease-management/tomato-leaf-mold</x:v>
      </x:c>
      <x:c r="G23" s="26" t="str">
        <x:v>RAG: leaf mold symptoms, RH threshold and management</x:v>
      </x:c>
      <x:c r="H23" s="26" t="str">
        <x:v>2026-09-09</x:v>
      </x:c>
    </x:row>
    <x:row r="24">
      <x:c r="A24" s="26" t="str">
        <x:v>S23</x:v>
      </x:c>
      <x:c r="B24" s="26" t="str">
        <x:v>Tomato - Spider Mites</x:v>
      </x:c>
      <x:c r="C24" s="26" t="str">
        <x:v>University of Connecticut IPM</x:v>
      </x:c>
      <x:c r="D24" s="26" t="str">
        <x:v>Pest/IPM</x:v>
      </x:c>
      <x:c r="E24" s="26" t="str">
        <x:v>Authoritative IPM</x:v>
      </x:c>
      <x:c r="F24" s="26" t="str">
        <x:v>https://ipm.cahnr.uconn.edu/tomato-spider-mites/</x:v>
      </x:c>
      <x:c r="G24" s="26" t="str">
        <x:v>RAG: two-spotted spider mite symptoms, hot-dry conditions, IPM</x:v>
      </x:c>
      <x:c r="H24" s="26" t="str">
        <x:v>2026-09-09</x:v>
      </x:c>
    </x:row>
    <x:row r="25">
      <x:c r="A25" s="26" t="str">
        <x:v>S24</x:v>
      </x:c>
      <x:c r="B25" s="26" t="str">
        <x:v>Target spot of tomato</x:v>
      </x:c>
      <x:c r="C25" s="26" t="str">
        <x:v>Purdue University</x:v>
      </x:c>
      <x:c r="D25" s="26" t="str">
        <x:v>Disease reference</x:v>
      </x:c>
      <x:c r="E25" s="26" t="str">
        <x:v>University reference</x:v>
      </x:c>
      <x:c r="F25" s="26" t="str">
        <x:v>https://ag.purdue.edu/department/arge/swpap/target-spot-tomato.html</x:v>
      </x:c>
      <x:c r="G25" s="26" t="str">
        <x:v>RAG: target spot identification</x:v>
      </x:c>
      <x:c r="H25" s="26" t="str">
        <x:v>2026-09-09</x:v>
      </x:c>
    </x:row>
    <x:row r="26">
      <x:c r="A26" s="26" t="str">
        <x:v>S25</x:v>
      </x:c>
      <x:c r="B26" s="26" t="str">
        <x:v>Tomato Yellow Leaf Curl Virus</x:v>
      </x:c>
      <x:c r="C26" s="26" t="str">
        <x:v>NC State Extension</x:v>
      </x:c>
      <x:c r="D26" s="26" t="str">
        <x:v>Disease/IPM</x:v>
      </x:c>
      <x:c r="E26" s="26" t="str">
        <x:v>Authoritative extension</x:v>
      </x:c>
      <x:c r="F26" s="26" t="str">
        <x:v>https://content.ces.ncsu.edu/tomato-yellow-leaf-curl-virus</x:v>
      </x:c>
      <x:c r="G26" s="26" t="str">
        <x:v>RAG: TYLCV symptoms, vector and management</x:v>
      </x:c>
      <x:c r="H26" s="26" t="str">
        <x:v>2026-09-09</x:v>
      </x:c>
    </x:row>
    <x:row r="27">
      <x:c r="A27" s="26" t="str">
        <x:v>S26</x:v>
      </x:c>
      <x:c r="B27" s="26" t="str">
        <x:v>TMV and ToMV</x:v>
      </x:c>
      <x:c r="C27" s="26" t="str">
        <x:v>Utah State University Extension</x:v>
      </x:c>
      <x:c r="D27" s="26" t="str">
        <x:v>Disease/IPM</x:v>
      </x:c>
      <x:c r="E27" s="26" t="str">
        <x:v>Authoritative extension</x:v>
      </x:c>
      <x:c r="F27" s="26" t="str">
        <x:v>https://extension.usu.edu/vegetableguide/tomato-pepper-eggplant/TMV-ToMV</x:v>
      </x:c>
      <x:c r="G27" s="26" t="str">
        <x:v>RAG: ToMV transmission, symptoms and no-chemical-cure guardrail</x:v>
      </x:c>
      <x:c r="H27" s="26" t="str">
        <x:v>2026-09-09</x:v>
      </x:c>
    </x:row>
    <x:row r="28">
      <x:c r="A28" s="26" t="str">
        <x:v>S27</x:v>
      </x:c>
      <x:c r="B28" s="26" t="str">
        <x:v>Phụ lục I - Danh mục thuốc bảo vệ thực vật được phép sử dụng tại Việt Nam kèm Thông tư 75/2025/TT-BNNMT</x:v>
      </x:c>
      <x:c r="C28" s="26" t="str">
        <x:v>Chính phủ Việt Nam / Bộ Nông nghiệp và Môi trường</x:v>
      </x:c>
      <x:c r="D28" s="26" t="str">
        <x:v>VIETNAM_PESTICIDE_ALLOWED_LIST</x:v>
      </x:c>
      <x:c r="E28" s="26" t="str">
        <x:v>PRIMARY_REGULATORY</x:v>
      </x:c>
      <x:c r="F28" s="26" t="str">
        <x:v>https://datafiles.chinhphu.vn/cpp/files/vbpq/2025/12/75-bnnmt-pl1.pdf</x:v>
      </x:c>
      <x:c r="G28" s="26" t="str">
        <x:v>Xác minh sản phẩm, thành phần và cặp cây trồng/sinh vật gây hại được đăng ký.</x:v>
      </x:c>
      <x:c r="H28" s="26" t="str">
        <x:v>2026-09-10</x:v>
      </x:c>
    </x:row>
    <x:row r="29">
      <x:c r="A29" s="26" t="str">
        <x:v>S28</x:v>
      </x:c>
      <x:c r="B29" s="26" t="str">
        <x:v>Revus Opti 440SC - Thông tin sản phẩm và hướng dẫn sử dụng</x:v>
      </x:c>
      <x:c r="C29" s="26" t="str">
        <x:v>Syngenta Việt Nam</x:v>
      </x:c>
      <x:c r="D29" s="26" t="str">
        <x:v>MANUFACTURER_LABEL_GUIDANCE</x:v>
      </x:c>
      <x:c r="E29" s="26" t="str">
        <x:v>PRIMARY_MANUFACTURER</x:v>
      </x:c>
      <x:c r="F29" s="26" t="str">
        <x:v>https://www.syngenta.com.vn/revus-optir-440sc</x:v>
      </x:c>
      <x:c r="G29" s="26" t="str">
        <x:v>Xác minh thành phần, liều sử dụng, lượng nước, thời điểm phun và PHI của Revus Opti 440SC.</x:v>
      </x:c>
      <x:c r="H29" s="26" t="str">
        <x:v>2026-09-10</x:v>
      </x:c>
    </x:row>
    <x:row r="30">
      <x:c r="A30" s="26" t="str">
        <x:v>S29</x:v>
      </x:c>
      <x:c r="B30" s="26" t="str">
        <x:v>Phụ lục Thông tư 28/2026/TT-BNNMT</x:v>
      </x:c>
      <x:c r="C30" s="26" t="str">
        <x:v>Cục Trồng trọt và Bảo vệ thực vật</x:v>
      </x:c>
      <x:c r="D30" s="26" t="str">
        <x:v>VIETNAM_PESTICIDE_REGULATION_AMENDMENT</x:v>
      </x:c>
      <x:c r="E30" s="26" t="str">
        <x:v>PRIMARY_REGULATORY</x:v>
      </x:c>
      <x:c r="F30" s="26" t="str">
        <x:v>https://www.ppd.gov.vn/FileUpload/Documents/Thuoc%20BVTV/26.07.03_PL%20TT28__01072026152914_signed.pdf</x:v>
      </x:c>
      <x:c r="G30" s="26" t="str">
        <x:v>Kiểm tra thuốc thay đổi thông tin, bổ sung hoặc tự nguyện rút khỏi danh mục sau Thông tư 75/2025.</x:v>
      </x:c>
      <x:c r="H30" s="26" t="str">
        <x:v>2026-09-10</x:v>
      </x:c>
    </x:row>
    <x:row r="31">
      <x:c r="A31" s="26" t="str">
        <x:v>S30</x:v>
      </x:c>
      <x:c r="B31" s="26" t="str">
        <x:v>Ortiva 600SC - Hướng dẫn sử dụng</x:v>
      </x:c>
      <x:c r="C31" s="26" t="str">
        <x:v>Syngenta Việt Nam</x:v>
      </x:c>
      <x:c r="D31" s="26" t="str">
        <x:v>MANUFACTURER_LABEL_GUIDANCE</x:v>
      </x:c>
      <x:c r="E31" s="26" t="str">
        <x:v>PRIMARY_MANUFACTURER</x:v>
      </x:c>
      <x:c r="F31" s="26" t="str">
        <x:v>https://www.syngenta.com.vn/ortivar-600sc</x:v>
      </x:c>
      <x:c r="G31" s="26" t="str">
        <x:v>Xác minh thành phần, liều, lượng nước, thời điểm phun và PHI của Ortiva 600SC.</x:v>
      </x:c>
      <x:c r="H31" s="26" t="str">
        <x:v>2026-09-10</x:v>
      </x:c>
    </x:row>
    <x:row r="32">
      <x:c r="A32" s="26" t="str">
        <x:v>S31</x:v>
      </x:c>
      <x:c r="B32" s="26" t="str">
        <x:v>Amistar 250SC - Hướng dẫn sử dụng</x:v>
      </x:c>
      <x:c r="C32" s="26" t="str">
        <x:v>Syngenta Việt Nam</x:v>
      </x:c>
      <x:c r="D32" s="26" t="str">
        <x:v>MANUFACTURER_LABEL_GUIDANCE</x:v>
      </x:c>
      <x:c r="E32" s="26" t="str">
        <x:v>PRIMARY_MANUFACTURER</x:v>
      </x:c>
      <x:c r="F32" s="26" t="str">
        <x:v>https://www.syngenta.com.vn/amistarr-250sc</x:v>
      </x:c>
      <x:c r="G32" s="26" t="str">
        <x:v>Xác minh thành phần, liều, lượng nước, thời điểm phun và PHI của Amistar 250SC.</x:v>
      </x:c>
      <x:c r="H32" s="26" t="str">
        <x:v>2026-09-10</x:v>
      </x:c>
    </x:row>
    <x:row r="33">
      <x:c r="A33" s="26" t="str">
        <x:v>S32</x:v>
      </x:c>
      <x:c r="B33" s="26" t="str">
        <x:v>Amistar Top 325SC - Hướng dẫn sử dụng</x:v>
      </x:c>
      <x:c r="C33" s="26" t="str">
        <x:v>Syngenta Việt Nam</x:v>
      </x:c>
      <x:c r="D33" s="26" t="str">
        <x:v>MANUFACTURER_LABEL_GUIDANCE</x:v>
      </x:c>
      <x:c r="E33" s="26" t="str">
        <x:v>PRIMARY_MANUFACTURER</x:v>
      </x:c>
      <x:c r="F33" s="26" t="str">
        <x:v>https://www.syngenta.com.vn/amistar-topr-325sc</x:v>
      </x:c>
      <x:c r="G33" s="26" t="str">
        <x:v>Xác minh thành phần, liều, thời điểm phun và PHI của Amistar Top 325SC.</x:v>
      </x:c>
      <x:c r="H33" s="26" t="str">
        <x:v>2026-09-10</x:v>
      </x:c>
    </x:row>
    <x:row r="34">
      <x:c r="A34" s="26" t="str">
        <x:v>S33</x:v>
      </x:c>
      <x:c r="B34" s="26" t="str">
        <x:v>Amistar 250SC - Product Registration Detail</x:v>
      </x:c>
      <x:c r="C34" s="26" t="str">
        <x:v>Syngenta Việt Nam</x:v>
      </x:c>
      <x:c r="D34" s="26" t="str">
        <x:v>MANUFACTURER_REGISTRATION_DETAIL</x:v>
      </x:c>
      <x:c r="E34" s="26" t="str">
        <x:v>PRIMARY_MANUFACTURER</x:v>
      </x:c>
      <x:c r="F34" s="26" t="str">
        <x:v>https://www.syngenta.com.vn/product/crop-protection/thuoc-tru-benh/amistar-250sc/1000</x:v>
      </x:c>
      <x:c r="G34" s="26" t="str">
        <x:v>Đối chiếu dữ liệu registration chi tiết; phát hiện xung đột PHI với trang marketing/hướng dẫn khác của cùng hãng.</x:v>
      </x:c>
      <x:c r="H34" s="26" t="str">
        <x:v>2026-09-10</x:v>
      </x:c>
    </x:row>
    <x:row r="35">
      <x:c r="A35" s="26" t="str">
        <x:v>S34</x:v>
      </x:c>
      <x:c r="B35" s="26" t="str">
        <x:v>Kỹ thuật trồng và chăm sóc cà chua Savior</x:v>
      </x:c>
      <x:c r="C35" s="26" t="str">
        <x:v>Syngenta Việt Nam</x:v>
      </x:c>
      <x:c r="D35" s="26" t="str">
        <x:v>VIETNAM_CROP_TECHNICAL_GUIDE</x:v>
      </x:c>
      <x:c r="E35" s="26" t="str">
        <x:v>PRIMARY_MANUFACTURER_GUIDE</x:v>
      </x:c>
      <x:c r="F35" s="26" t="str">
        <x:v>https://www.syngenta.com.vn/sites/g/files/kgtney1261/files/media/document/2022/10/28/ky-thuat-trong-va-cham-soc-savior.pdf</x:v>
      </x:c>
      <x:c r="G35" s="26" t="str">
        <x:v>Bổ sung mapping bệnh cà chua tại Việt Nam, đặc biệt sương mai, bệnh kim châm/bả trầu và TYLCV; không tự động coi đây là nhãn đăng ký sản phẩm.</x:v>
      </x:c>
      <x:c r="H35" s="26" t="str">
        <x:v>2026-09-10</x:v>
      </x:c>
    </x:row>
    <x:row r="36">
      <x:c r="A36" s="26" t="str">
        <x:v>S35</x:v>
      </x:c>
      <x:c r="B36" s="26" t="str">
        <x:v>Anti-Xo 200WP - Thông tin sản phẩm và hướng dẫn sử dụng</x:v>
      </x:c>
      <x:c r="C36" s="26" t="str">
        <x:v>Công ty TNHH Phú Nông</x:v>
      </x:c>
      <x:c r="D36" s="26" t="str">
        <x:v>MANUFACTURER_LABEL_GUIDANCE</x:v>
      </x:c>
      <x:c r="E36" s="26" t="str">
        <x:v>PRIMARY_MANUFACTURER</x:v>
      </x:c>
      <x:c r="F36" s="26" t="str">
        <x:v>https://phunong.com.vn/product/thuoc-tru-benh/anti-xo-200wp/</x:v>
      </x:c>
      <x:c r="G36" s="26" t="str">
        <x:v>Xác minh hoạt chất, đối tượng đốm lá vi khuẩn/cà chua, liều, lượng nước và thời điểm phun. Trang hiện không công bố PHI.</x:v>
      </x:c>
      <x:c r="H36" s="26" t="str">
        <x:v>2026-09-10</x:v>
      </x:c>
    </x:row>
    <x:row r="37">
      <x:c r="A37" s="26" t="str">
        <x:v>S36</x:v>
      </x:c>
      <x:c r="B37" s="26" t="str">
        <x:v>ANTRACOL 70WP - Bayer CropScience Việt Nam</x:v>
      </x:c>
      <x:c r="C37" s="26" t="str">
        <x:v>Bayer CropScience Việt Nam</x:v>
      </x:c>
      <x:c r="D37" s="26" t="str">
        <x:v>MANUFACTURER_LABEL_GUIDANCE</x:v>
      </x:c>
      <x:c r="E37" s="26" t="str">
        <x:v>PRIMARY_MANUFACTURER</x:v>
      </x:c>
      <x:c r="F37" s="26" t="str">
        <x:v>https://cropssciencebayer.com.vn/our-products/fungicide/antracol-70wp/</x:v>
      </x:c>
      <x:c r="G37" s="26" t="str">
        <x:v>Xác minh sản phẩm, hoạt chất, đăng ký sử dụng và khoảng liều trên ngô. Trang hiện không cung cấp PHI nên không dùng để seed PHI.</x:v>
      </x:c>
      <x:c r="H37" s="26" t="str">
        <x:v>2026-09-10</x:v>
      </x:c>
    </x:row>
    <x:row r="38">
      <x:c r="A38" s="26" t="str">
        <x:v>S37</x:v>
      </x:c>
      <x:c r="B38" s="26" t="str">
        <x:v>Thumb 0.5SL - hướng dẫn sử dụng sản phẩm</x:v>
      </x:c>
      <x:c r="C38" s="26" t="str">
        <x:v>Phân Dơi Số 1 / Vietgro</x:v>
      </x:c>
      <x:c r="D38" s="26" t="str">
        <x:v>SECONDARY_RETAILER_LABEL_COPY</x:v>
      </x:c>
      <x:c r="E38" s="26" t="str">
        <x:v>SECONDARY_NON_AUTHORITATIVE</x:v>
      </x:c>
      <x:c r="F38" s="26" t="str">
        <x:v>https://www.phandoiso1.com/thuoc-bao-ve-thuc-vat/thuoc-tru-benh/thumb-0-5sl-thuoc-tru-benh-cho-cay-trong</x:v>
      </x:c>
      <x:c r="G38" s="26" t="str">
        <x:v>Chỉ dùng làm nguồn tham khảo staging cho liều/PHI của Thumb 0.5SL. Không đủ authority để seed TreatmentRule final nếu chưa có nhãn/nguồn primary.</x:v>
      </x:c>
      <x:c r="H38" s="26" t="str">
        <x:v>2026-09-10</x:v>
      </x:c>
    </x:row>
    <x:row r="39">
      <x:c r="A39" t="str">
        <x:v>S38</x:v>
      </x:c>
      <x:c r="B39" t="str">
        <x:v>Hướng dẫn kỹ thuật phòng trừ bệnh sương mai hại cây cà chua</x:v>
      </x:c>
      <x:c r="C39" t="str">
        <x:v>Chi cục Trồng trọt và Bảo vệ thực vật Ninh Bình</x:v>
      </x:c>
      <x:c r="D39" t="str">
        <x:v>VIETNAM_OFFICIAL_DISEASE_GUIDE</x:v>
      </x:c>
      <x:c r="E39" t="str">
        <x:v>GOVERNMENT_TECHNICAL_GUIDE</x:v>
      </x:c>
      <x:c r="F39" t="str">
        <x:v>https://chicucttbvtv.ninhbinh.gov.vn/ky-thuat-phong-tru-dich-hai/huong-dan-ky-thuat-phong-tru-benh-suong-mai-hai-cay-ca-chua-85.html</x:v>
      </x:c>
      <x:c r="G39" t="str">
        <x:v>Xác nhận Phytophthora infestans ↔ bệnh sương mai trên cà chua.</x:v>
      </x:c>
      <x:c r="H39" t="str">
        <x:v>2026-09-10</x:v>
      </x:c>
    </x:row>
    <x:row r="40">
      <x:c r="A40" t="str">
        <x:v>S39</x:v>
      </x:c>
      <x:c r="B40" t="str">
        <x:v>Tài liệu học thuật về Alternaria solani gây bệnh đốm vòng trên cà chua và khoai tây</x:v>
      </x:c>
      <x:c r="C40" t="str">
        <x:v>Trường Đại học Nông Lâm TP.HCM / nguồn học thuật</x:v>
      </x:c>
      <x:c r="D40" t="str">
        <x:v>ACADEMIC_DISEASE_MAPPING</x:v>
      </x:c>
      <x:c r="E40" t="str">
        <x:v>ACADEMIC</x:v>
      </x:c>
      <x:c r="F40" t="str">
        <x:v>https://pgo.hcmuaf.edu.vn/data/3_%20LATS%20NCS%20HIEN.pdf</x:v>
      </x:c>
      <x:c r="G40" t="str">
        <x:v>Xác nhận Alternaria solani ↔ bệnh đốm vòng trên cà chua và khoai tây.</x:v>
      </x:c>
      <x:c r="H40" t="str">
        <x:v>2026-09-10</x:v>
      </x:c>
    </x:row>
    <x:row r="41">
      <x:c r="A41" t="str">
        <x:v>S40</x:v>
      </x:c>
      <x:c r="B41" t="str">
        <x:v>Hiện trạng kháng thuốc BVTV của Phytophthora infestans hại cà chua, khoai tây</x:v>
      </x:c>
      <x:c r="C41" t="str">
        <x:v>Bệnh viện cây trồng - Học viện Nông nghiệp Việt Nam</x:v>
      </x:c>
      <x:c r="D41" t="str">
        <x:v>ACADEMIC_PLANT_PATHOLOGY</x:v>
      </x:c>
      <x:c r="E41" t="str">
        <x:v>ACADEMIC</x:v>
      </x:c>
      <x:c r="F41" t="str">
        <x:v>https://plantclinic.vnua.edu.vn/tin-tuc/tong-quan-nhung-nghien-cuu-ve-khang-thuoc-bao-ve-thuc-vat-cua-phytophthora-infestans-gay-benh-moc-suong-ca-chua-khoai-tay.html</x:v>
      </x:c>
      <x:c r="G41" t="str">
        <x:v>Xác nhận Phytophthora infestans ↔ bệnh mốc/sương mai trên cà chua, khoai tây.</x:v>
      </x:c>
      <x:c r="H41" t="str">
        <x:v>2026-09-10</x:v>
      </x:c>
    </x:row>
    <x:row r="42">
      <x:c r="A42" t="str">
        <x:v>S41</x:v>
      </x:c>
      <x:c r="B42" t="str">
        <x:v>Exserohilum turcicum gây bệnh đốm lá lớn trên ngô</x:v>
      </x:c>
      <x:c r="C42" t="str">
        <x:v>Đại học Cần Thơ / Tạp chí Nông nghiệp và Phát triển Nông thôn</x:v>
      </x:c>
      <x:c r="D42" t="str">
        <x:v>ACADEMIC_DISEASE_MAPPING</x:v>
      </x:c>
      <x:c r="E42" t="str">
        <x:v>ACADEMIC</x:v>
      </x:c>
      <x:c r="F42" t="str">
        <x:v>https://sj.ctu.edu.vn/ql/docgia/tacgia-78270/baibao-60538.html</x:v>
      </x:c>
      <x:c r="G42" t="str">
        <x:v>Xác nhận Exserohilum turcicum ↔ bệnh đốm lá lớn trên ngô.</x:v>
      </x:c>
      <x:c r="H42" t="str">
        <x:v>2026-09-10</x:v>
      </x:c>
    </x:row>
  </x:sheetData>
  <x:pageMargins left="0.7" right="0.7" top="0.75" bottom="0.75" header="0.3" footer="0.3"/>
  <x:tableParts count="1">
    <x:tablePart xmlns:r="http://schemas.openxmlformats.org/officeDocument/2006/relationships" r:id="Re82c98b346dd4948"/>
  </x:tableParts>
</x:worksheet>
</file>

<file path=xl/worksheets/sheet5.xml><?xml version="1.0" encoding="utf-8"?>
<x:worksheet xmlns:x="http://schemas.openxmlformats.org/spreadsheetml/2006/main">
  <x:sheetFormatPr defaultRowHeight="15"/>
  <x:cols>
    <x:col min="1" max="1" width="12" hidden="0" customWidth="1"/>
    <x:col min="2" max="2" width="22" hidden="0" customWidth="1"/>
    <x:col min="3" max="3" width="34" hidden="0" customWidth="1"/>
    <x:col min="4" max="4" width="34" hidden="0" customWidth="1"/>
    <x:col min="5" max="5" width="40" hidden="0" customWidth="1"/>
    <x:col min="6" max="6" width="26" hidden="0" customWidth="1"/>
  </x:cols>
  <x:sheetData>
    <x:row r="1">
      <x:c r="A1" s="46" t="str">
        <x:v>Cách dùng Agronomist Review Package</x:v>
      </x:c>
      <x:c r="B1" s="46"/>
      <x:c r="C1" s="46"/>
      <x:c r="D1" s="46"/>
      <x:c r="E1" s="46"/>
      <x:c r="F1" s="46"/>
    </x:row>
    <x:row r="2">
      <x:c r="A2" s="26"/>
      <x:c r="B2" s="26"/>
      <x:c r="C2" s="26"/>
      <x:c r="D2" s="26"/>
      <x:c r="E2" s="26"/>
      <x:c r="F2" s="26"/>
    </x:row>
    <x:row r="3">
      <x:c r="A3" s="14" t="str">
        <x:v>Bước</x:v>
      </x:c>
      <x:c r="B3" s="14" t="str">
        <x:v>Ai làm</x:v>
      </x:c>
      <x:c r="C3" s="14" t="str">
        <x:v>Hành động</x:v>
      </x:c>
      <x:c r="D3" s="14" t="str">
        <x:v>Kết quả mong đợi</x:v>
      </x:c>
      <x:c r="E3" s="14" t="str">
        <x:v>Không được làm</x:v>
      </x:c>
      <x:c r="F3" s="14" t="str">
        <x:v>Ghi chú</x:v>
      </x:c>
    </x:row>
    <x:row r="4">
      <x:c r="A4" s="26" t="str">
        <x:v>1</x:v>
      </x:c>
      <x:c r="B4" s="26" t="str">
        <x:v>Kỹ sư nông nghiệp</x:v>
      </x:c>
      <x:c r="C4" s="26" t="str">
        <x:v>Mở Chemical_Rule_Review</x:v>
      </x:c>
      <x:c r="D4" s="26" t="str">
        <x:v>Duyệt exact mapping cây trồng–bệnh</x:v>
      </x:c>
      <x:c r="E4" s="26" t="str">
        <x:v>Không approve chỉ vì tên gần giống</x:v>
      </x:c>
      <x:c r="F4" s="26" t="str"/>
    </x:row>
    <x:row r="5">
      <x:c r="A5" s="26" t="str">
        <x:v>2</x:v>
      </x:c>
      <x:c r="B5" s="26" t="str">
        <x:v>Kỹ sư nông nghiệp</x:v>
      </x:c>
      <x:c r="C5" s="26" t="str">
        <x:v>Kiểm tra liều/PHI theo nguồn</x:v>
      </x:c>
      <x:c r="D5" s="26" t="str">
        <x:v>Giữ nguyên số liệu nguồn</x:v>
      </x:c>
      <x:c r="E5" s="26" t="str">
        <x:v>Không tự sửa liều/PHI</x:v>
      </x:c>
      <x:c r="F5" s="26" t="str"/>
    </x:row>
    <x:row r="6">
      <x:c r="A6" s="26" t="str">
        <x:v>3</x:v>
      </x:c>
      <x:c r="B6" s="26" t="str">
        <x:v>Kỹ sư nông nghiệp</x:v>
      </x:c>
      <x:c r="C6" s="26" t="str">
        <x:v>Chọn APPROVE/REJECT/NEED_MORE_EVIDENCE</x:v>
      </x:c>
      <x:c r="D6" s="26" t="str">
        <x:v>Có reviewer + ngày review</x:v>
      </x:c>
      <x:c r="E6" s="26" t="str">
        <x:v>Không bỏ trống reviewer khi APPROVE</x:v>
      </x:c>
      <x:c r="F6" s="26" t="str"/>
    </x:row>
    <x:row r="7">
      <x:c r="A7" s="26" t="str">
        <x:v>4</x:v>
      </x:c>
      <x:c r="B7" s="26" t="str">
        <x:v>Tùng</x:v>
      </x:c>
      <x:c r="C7" s="26" t="str">
        <x:v>Import các row READY_TO_PROMOTE</x:v>
      </x:c>
      <x:c r="D7" s="26" t="str">
        <x:v>Tạo final treatment_rules.json</x:v>
      </x:c>
      <x:c r="E7" s="26" t="str">
        <x:v>Không promote row NOT_READY</x:v>
      </x:c>
      <x:c r="F7" s="26" t="str"/>
    </x:row>
    <x:row r="8">
      <x:c r="A8" s="26" t="str">
        <x:v>5</x:v>
      </x:c>
      <x:c r="B8" s="26" t="str">
        <x:v>Tùng</x:v>
      </x:c>
      <x:c r="C8" s="26" t="str">
        <x:v>Review Policy_Review</x:v>
      </x:c>
      <x:c r="D8" s="26" t="str">
        <x:v>Tạo disease_management_policies.json final</x:v>
      </x:c>
      <x:c r="E8" s="26" t="str">
        <x:v>Không biến policy thành thuốc</x:v>
      </x:c>
      <x:c r="F8" s="26" t="str"/>
    </x:row>
    <x:row r="9">
      <x:c r="A9" s="26" t="str">
        <x:v>6</x:v>
      </x:c>
      <x:c r="B9" s="26" t="str">
        <x:v>Team</x:v>
      </x:c>
      <x:c r="C9" s="26" t="str">
        <x:v>Seed PostgreSQL + test lookup</x:v>
      </x:c>
      <x:c r="D9" s="26" t="str">
        <x:v>CV disease_code → deterministic safe path</x:v>
      </x:c>
      <x:c r="E9" s="26" t="str">
        <x:v>Không để LLM fallback sang tự sinh thuốc</x:v>
      </x:c>
      <x:c r="F9" s="26" t="str"/>
    </x:row>
    <x:row r="10">
      <x:c r="A10" s="26" t="str"/>
      <x:c r="B10" s="26" t="str"/>
      <x:c r="C10" s="26" t="str"/>
      <x:c r="D10" s="26" t="str"/>
      <x:c r="E10" s="26" t="str"/>
      <x:c r="F10" s="26" t="str"/>
    </x:row>
    <x:row r="11">
      <x:c r="A11" s="26" t="str">
        <x:v>Guardrail</x:v>
      </x:c>
      <x:c r="B11" s="26" t="str"/>
      <x:c r="C11" s="26" t="str">
        <x:v>Nếu thiếu verified rule</x:v>
      </x:c>
      <x:c r="D11" s="26" t="str">
        <x:v>RAG explanation + engineer review</x:v>
      </x:c>
      <x:c r="E11" s="26" t="str">
        <x:v>LLM không sinh product/dose/PHI</x:v>
      </x:c>
      <x:c r="F11" s="26" t="str"/>
    </x:row>
    <x:row r="12">
      <x:c r="A12" s="26" t="str">
        <x:v>Semantic rule</x:v>
      </x:c>
      <x:c r="B12" s="26" t="str"/>
      <x:c r="C12" s="26" t="str">
        <x:v>Broad target != exact disease</x:v>
      </x:c>
      <x:c r="D12" s="26" t="str">
        <x:v>Cần agronomist mapping</x:v>
      </x:c>
      <x:c r="E12" s="26" t="str">
        <x:v>Không suy diễn 'đốm lá' thành mọi leaf spot</x:v>
      </x:c>
      <x:c r="F12" s="26" t="str"/>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34" hidden="0" customWidth="1"/>
    <x:col min="3" max="3" width="24" hidden="0" customWidth="1"/>
    <x:col min="4" max="4" width="34" hidden="0" customWidth="1"/>
    <x:col min="5" max="5" width="18" hidden="0" customWidth="1"/>
    <x:col min="6" max="6" width="20" hidden="0" customWidth="1"/>
    <x:col min="7" max="7" width="20" hidden="0" customWidth="1"/>
    <x:col min="8" max="8" width="16" hidden="0" customWidth="1"/>
  </x:cols>
  <x:sheetData>
    <x:row r="1">
      <x:c r="A1" s="61" t="str">
        <x:v>DX-Farm Stage 3 — MVP Final Technical Review</x:v>
      </x:c>
      <x:c r="B1" s="61"/>
      <x:c r="C1" s="61"/>
      <x:c r="D1" s="61"/>
      <x:c r="E1" s="61"/>
      <x:c r="F1" s="61"/>
      <x:c r="G1" s="61"/>
      <x:c r="H1" s="61"/>
    </x:row>
    <x:row r="2">
      <x:c r="A2" s="26"/>
      <x:c r="B2" s="26"/>
      <x:c r="C2" s="26"/>
      <x:c r="D2" s="26"/>
      <x:c r="E2" s="26"/>
      <x:c r="F2" s="26"/>
      <x:c r="G2" s="26"/>
      <x:c r="H2" s="26"/>
    </x:row>
    <x:row r="3">
      <x:c r="A3" s="62" t="str">
        <x:v>Metric</x:v>
      </x:c>
      <x:c r="B3" s="62" t="str">
        <x:v>Count</x:v>
      </x:c>
      <x:c r="C3" s="26"/>
      <x:c r="D3" s="63" t="str">
        <x:v>Approved Rule ID</x:v>
      </x:c>
      <x:c r="E3" s="63" t="str">
        <x:v>Disease Code</x:v>
      </x:c>
      <x:c r="F3" s="63" t="str">
        <x:v>Product</x:v>
      </x:c>
      <x:c r="G3" s="63" t="str">
        <x:v>Dose Range</x:v>
      </x:c>
      <x:c r="H3" s="63" t="str">
        <x:v>PHI</x:v>
      </x:c>
    </x:row>
    <x:row r="4">
      <x:c r="A4" s="26" t="str">
        <x:v>Final pesticides</x:v>
      </x:c>
      <x:c r="B4" s="26" t="n">
        <x:v>4</x:v>
      </x:c>
      <x:c r="C4" s="26"/>
      <x:c r="D4" s="26" t="str">
        <x:v>TR-CAND-001</x:v>
      </x:c>
      <x:c r="E4" s="26" t="str">
        <x:v>Tomato___Late_blight</x:v>
      </x:c>
      <x:c r="F4" s="26" t="str">
        <x:v>Revus Opti 440SC</x:v>
      </x:c>
      <x:c r="G4" s="26" t="str">
        <x:v>2.0 - 2.5 L/ha</x:v>
      </x:c>
      <x:c r="H4" s="26" t="n">
        <x:v>5</x:v>
      </x:c>
    </x:row>
    <x:row r="5">
      <x:c r="A5" s="26" t="str">
        <x:v>Final TreatmentRules</x:v>
      </x:c>
      <x:c r="B5" s="26" t="n">
        <x:v>8</x:v>
      </x:c>
      <x:c r="C5" s="26"/>
      <x:c r="D5" s="26" t="str">
        <x:v>TR-CAND-002</x:v>
      </x:c>
      <x:c r="E5" s="26" t="str">
        <x:v>Potato___Early_blight</x:v>
      </x:c>
      <x:c r="F5" s="26" t="str">
        <x:v>Revus Opti 440SC</x:v>
      </x:c>
      <x:c r="G5" s="26" t="str">
        <x:v>2.0 - 2.5 L/ha</x:v>
      </x:c>
      <x:c r="H5" s="26" t="n">
        <x:v>5</x:v>
      </x:c>
    </x:row>
    <x:row r="6">
      <x:c r="A6" s="26" t="str">
        <x:v>Final management policies</x:v>
      </x:c>
      <x:c r="B6" s="26" t="n">
        <x:v>21</x:v>
      </x:c>
      <x:c r="C6" s="26"/>
      <x:c r="D6" s="26" t="str">
        <x:v>TR-CAND-003</x:v>
      </x:c>
      <x:c r="E6" s="26" t="str">
        <x:v>Potato___Late_blight</x:v>
      </x:c>
      <x:c r="F6" s="26" t="str">
        <x:v>Revus Opti 440SC</x:v>
      </x:c>
      <x:c r="G6" s="26" t="str">
        <x:v>2.0 - 2.5 L/ha</x:v>
      </x:c>
      <x:c r="H6" s="26" t="n">
        <x:v>5</x:v>
      </x:c>
    </x:row>
    <x:row r="7">
      <x:c r="A7" s="26" t="str">
        <x:v>Approved disease classes</x:v>
      </x:c>
      <x:c r="B7" s="26" t="n">
        <x:v>5</x:v>
      </x:c>
      <x:c r="C7" s="26"/>
      <x:c r="D7" s="26" t="str">
        <x:v>TR-CAND-004</x:v>
      </x:c>
      <x:c r="E7" s="26" t="str">
        <x:v>Tomato___Early_blight</x:v>
      </x:c>
      <x:c r="F7" s="26" t="str">
        <x:v>Ortiva 600SC</x:v>
      </x:c>
      <x:c r="G7" s="26" t="str">
        <x:v>1.5 - 1.5 L/ha</x:v>
      </x:c>
      <x:c r="H7" s="26" t="n">
        <x:v>7</x:v>
      </x:c>
    </x:row>
    <x:row r="8">
      <x:c r="A8" s="26" t="str">
        <x:v>Held TreatmentRule candidates</x:v>
      </x:c>
      <x:c r="B8" s="26" t="n">
        <x:v>8</x:v>
      </x:c>
      <x:c r="C8" s="26"/>
      <x:c r="D8" s="26" t="str">
        <x:v>TR-CAND-005</x:v>
      </x:c>
      <x:c r="E8" s="26" t="str">
        <x:v>Tomato___Late_blight</x:v>
      </x:c>
      <x:c r="F8" s="26" t="str">
        <x:v>Ortiva 600SC</x:v>
      </x:c>
      <x:c r="G8" s="26" t="str">
        <x:v>1.5 - 1.5 L/ha</x:v>
      </x:c>
      <x:c r="H8" s="26" t="n">
        <x:v>7</x:v>
      </x:c>
    </x:row>
    <x:row r="9">
      <x:c r="A9" s="26"/>
      <x:c r="B9" s="26"/>
      <x:c r="C9" s="26"/>
      <x:c r="D9" s="26" t="str">
        <x:v>TR-CAND-007</x:v>
      </x:c>
      <x:c r="E9" s="26" t="str">
        <x:v>Corn_(maize)___Northern_Leaf_Blight</x:v>
      </x:c>
      <x:c r="F9" s="26" t="str">
        <x:v>Amistar Top 325SC</x:v>
      </x:c>
      <x:c r="G9" s="26" t="str">
        <x:v>0.25 - 0.5 L/ha</x:v>
      </x:c>
      <x:c r="H9" s="26" t="n">
        <x:v>10</x:v>
      </x:c>
    </x:row>
    <x:row r="10">
      <x:c r="A10" s="26"/>
      <x:c r="B10" s="26"/>
      <x:c r="C10" s="26"/>
      <x:c r="D10" s="26" t="str">
        <x:v>TR-CAND-009</x:v>
      </x:c>
      <x:c r="E10" s="26" t="str">
        <x:v>Tomato___Early_blight</x:v>
      </x:c>
      <x:c r="F10" s="26" t="str">
        <x:v>Amistar 250SC</x:v>
      </x:c>
      <x:c r="G10" s="26" t="str">
        <x:v>0.3 - 0.4 L/ha</x:v>
      </x:c>
      <x:c r="H10" s="26" t="n">
        <x:v>5</x:v>
      </x:c>
    </x:row>
    <x:row r="11">
      <x:c r="A11" s="26"/>
      <x:c r="B11" s="26"/>
      <x:c r="C11" s="26"/>
      <x:c r="D11" s="26" t="str">
        <x:v>TR-CAND-011</x:v>
      </x:c>
      <x:c r="E11" s="26" t="str">
        <x:v>Potato___Late_blight</x:v>
      </x:c>
      <x:c r="F11" s="26" t="str">
        <x:v>Amistar 250SC</x:v>
      </x:c>
      <x:c r="G11" s="26" t="str">
        <x:v>0.5 - 0.5 L/ha</x:v>
      </x:c>
      <x:c r="H11" s="26" t="n">
        <x:v>14</x:v>
      </x:c>
    </x:row>
    <x:row r="12">
      <x:c r="A12" s="64" t="str">
        <x:v>Held Rule ID</x:v>
      </x:c>
      <x:c r="B12" s="64" t="str">
        <x:v>Disease Code</x:v>
      </x:c>
      <x:c r="C12" s="64" t="str">
        <x:v>Product</x:v>
      </x:c>
      <x:c r="D12" s="64" t="str">
        <x:v>Reason</x:v>
      </x:c>
      <x:c r="E12" s="26"/>
      <x:c r="F12" s="26"/>
      <x:c r="G12" s="26"/>
      <x:c r="H12" s="26"/>
    </x:row>
    <x:row r="13">
      <x:c r="A13" s="26" t="str">
        <x:v>TR-CAND-006</x:v>
      </x:c>
      <x:c r="B13" s="26" t="str">
        <x:v>Tomato___Target_Spot</x:v>
      </x:c>
      <x:c r="C13" s="26" t="str">
        <x:v>Ortiva 600SC</x:v>
      </x:c>
      <x:c r="D13" s="26" t="str">
        <x:v>HOLD: 'đốm lá/cà chua' là target quá rộng, chưa đủ để đồng nhất với Tomato Target Spot.</x:v>
      </x:c>
      <x:c r="E13" s="26"/>
      <x:c r="F13" s="26"/>
      <x:c r="G13" s="26"/>
      <x:c r="H13" s="26"/>
    </x:row>
    <x:row r="14">
      <x:c r="A14" s="26" t="str">
        <x:v>TR-CAND-008</x:v>
      </x:c>
      <x:c r="B14" s="26" t="str">
        <x:v>Corn_(maize)__Common_rust</x:v>
      </x:c>
      <x:c r="C14" s="26" t="str">
        <x:v>Amistar Top 325SC</x:v>
      </x:c>
      <x:c r="D14" s="26" t="str">
        <x:v>HOLD: nhãn dùng 'rỉ sắt/ngô' rộng hơn class Common rust; giữ review kỹ sư trước khi deterministic mapping.</x:v>
      </x:c>
      <x:c r="E14" s="26"/>
      <x:c r="F14" s="26"/>
      <x:c r="G14" s="26"/>
      <x:c r="H14" s="26"/>
    </x:row>
    <x:row r="15">
      <x:c r="A15" s="26" t="str">
        <x:v>TR-CAND-010</x:v>
      </x:c>
      <x:c r="B15" s="26" t="str">
        <x:v>Tomato___Late_blight</x:v>
      </x:c>
      <x:c r="C15" s="26" t="str">
        <x:v>Amistar 250SC</x:v>
      </x:c>
      <x:c r="D15" s="26" t="str">
        <x:v>HOLD: từng có xung đột PHI giữa các trang nguồn; không cần dùng rule này cho MVP vì đã có Revus/Ortiva cho cùng class.</x:v>
      </x:c>
      <x:c r="E15" s="26"/>
      <x:c r="F15" s="26"/>
      <x:c r="G15" s="26"/>
      <x:c r="H15" s="26"/>
    </x:row>
    <x:row r="16">
      <x:c r="A16" s="26" t="str">
        <x:v>TR-CAND-012</x:v>
      </x:c>
      <x:c r="B16" s="26" t="str">
        <x:v>Tomato___Bacterial_spot</x:v>
      </x:c>
      <x:c r="C16" s="26" t="str">
        <x:v>Anti-Xo 200WP</x:v>
      </x:c>
      <x:c r="D16" s="26" t="str">
        <x:v>HOLD: Tomato bacterial spot candidate còn thiếu PHI primary-label verified.</x:v>
      </x:c>
      <x:c r="E16" s="26"/>
      <x:c r="F16" s="26"/>
      <x:c r="G16" s="26"/>
      <x:c r="H16" s="26"/>
    </x:row>
    <x:row r="17">
      <x:c r="A17" s="26" t="str">
        <x:v>TR-CAND-013</x:v>
      </x:c>
      <x:c r="B17" s="26" t="str">
        <x:v>Corn_(maize)___Cercospora_leaf_spot Gray_leaf_spot</x:v>
      </x:c>
      <x:c r="C17" s="26" t="str">
        <x:v>Antracol 70WP</x:v>
      </x:c>
      <x:c r="D17" s="26" t="str">
        <x:v>HOLD: target 'đốm lá/ngô' quá rộng cho Cercospora/Gray Leaf Spot và PHI chưa verified.</x:v>
      </x:c>
      <x:c r="E17" s="26"/>
      <x:c r="F17" s="26"/>
      <x:c r="G17" s="26"/>
      <x:c r="H17" s="26"/>
    </x:row>
    <x:row r="18">
      <x:c r="A18" s="26" t="str">
        <x:v>TR-CAND-014</x:v>
      </x:c>
      <x:c r="B18" s="26" t="str">
        <x:v>Tomato___Leaf_Mold</x:v>
      </x:c>
      <x:c r="C18" s="26" t="str">
        <x:v>Ortiva 600SC</x:v>
      </x:c>
      <x:c r="D18" s="26" t="str">
        <x:v>HOLD: 'đốm lá/cà chua' không chỉ đích danh Leaf Mold.</x:v>
      </x:c>
      <x:c r="E18" s="26"/>
      <x:c r="F18" s="26"/>
      <x:c r="G18" s="26"/>
      <x:c r="H18" s="26"/>
    </x:row>
    <x:row r="19">
      <x:c r="A19" s="26" t="str">
        <x:v>TR-CAND-015</x:v>
      </x:c>
      <x:c r="B19" s="26" t="str">
        <x:v>Tomato___Septoria_leaf_spot</x:v>
      </x:c>
      <x:c r="C19" s="26" t="str">
        <x:v>Ortiva 600SC</x:v>
      </x:c>
      <x:c r="D19" s="26" t="str">
        <x:v>HOLD: 'đốm lá/cà chua' không chỉ đích danh Septoria leaf spot.</x:v>
      </x:c>
      <x:c r="E19" s="26"/>
      <x:c r="F19" s="26"/>
      <x:c r="G19" s="26"/>
      <x:c r="H19" s="26"/>
    </x:row>
    <x:row r="20">
      <x:c r="A20" s="26" t="str">
        <x:v>TR-CAND-016</x:v>
      </x:c>
      <x:c r="B20" s="26" t="str">
        <x:v>Squash___Powdery_mildew</x:v>
      </x:c>
      <x:c r="C20" s="26" t="str">
        <x:v>Thumb 0.5SL</x:v>
      </x:c>
      <x:c r="D20" s="26" t="str">
        <x:v>HOLD: crop mismatch Squash ↔ bí xanh và dose/PHI dựa trên secondary source.</x:v>
      </x:c>
      <x:c r="E20" s="26"/>
      <x:c r="F20" s="26"/>
      <x:c r="G20" s="26"/>
      <x:c r="H20" s="26"/>
    </x:row>
    <x:row r="21">
      <x:c r="A21" s="26"/>
      <x:c r="B21" s="26"/>
      <x:c r="C21" s="26"/>
      <x:c r="D21" s="26"/>
      <x:c r="E21" s="26"/>
      <x:c r="F21" s="26"/>
      <x:c r="G21" s="26"/>
      <x:c r="H21" s="26"/>
    </x:row>
    <x:row r="22">
      <x:c r="A22" s="26"/>
      <x:c r="B22" s="26"/>
      <x:c r="C22" s="26"/>
      <x:c r="D22" s="26"/>
      <x:c r="E22" s="26"/>
      <x:c r="F22" s="26"/>
      <x:c r="G22" s="26"/>
      <x:c r="H22" s="26"/>
    </x:row>
    <x:row r="23">
      <x:c r="A23" s="60" t="str">
        <x:v>LIMITATION: Đây là review kỹ thuật dựa trên nguồn cho MVP/demo phần mềm, không phải chữ ký của kỹ sư nông nghiệp có thẩm quyền và không được dùng trực tiếp như hướng dẫn phun thuốc ngoài thực địa.</x:v>
      </x:c>
      <x:c r="B23" s="60"/>
      <x:c r="C23" s="60"/>
      <x:c r="D23" s="60"/>
      <x:c r="E23" s="60"/>
      <x:c r="F23" s="60"/>
      <x:c r="G23" s="60"/>
      <x:c r="H23" s="60"/>
    </x:row>
    <x:row r="24">
      <x:c r="A24" s="60"/>
      <x:c r="B24" s="60"/>
      <x:c r="C24" s="60"/>
      <x:c r="D24" s="60"/>
      <x:c r="E24" s="60"/>
      <x:c r="F24" s="60"/>
      <x:c r="G24" s="60"/>
      <x:c r="H24" s="60"/>
    </x:row>
    <x:row r="25">
      <x:c r="A25" s="60"/>
      <x:c r="B25" s="60"/>
      <x:c r="C25" s="60"/>
      <x:c r="D25" s="60"/>
      <x:c r="E25" s="60"/>
      <x:c r="F25" s="60"/>
      <x:c r="G25" s="60"/>
      <x:c r="H25" s="60"/>
    </x:row>
    <x:row r="26">
      <x:c r="A26" s="26"/>
      <x:c r="B26" s="26"/>
      <x:c r="C26" s="26"/>
      <x:c r="D26" s="26"/>
      <x:c r="E26" s="26"/>
      <x:c r="F26" s="26"/>
      <x:c r="G26" s="26"/>
      <x:c r="H26" s="26"/>
    </x:row>
    <x:row r="27">
      <x:c r="A27" s="26"/>
      <x:c r="B27" s="26"/>
      <x:c r="C27" s="26"/>
      <x:c r="D27" s="26"/>
      <x:c r="E27" s="26"/>
      <x:c r="F27" s="26"/>
      <x:c r="G27" s="26"/>
      <x:c r="H27" s="26"/>
    </x:row>
    <x:row r="28">
      <x:c r="A28" s="26"/>
      <x:c r="B28" s="26"/>
      <x:c r="C28" s="26"/>
      <x:c r="D28" s="26"/>
      <x:c r="E28" s="26"/>
      <x:c r="F28" s="26"/>
      <x:c r="G28" s="26"/>
      <x:c r="H28" s="26"/>
    </x:row>
    <x:row r="29">
      <x:c r="A29" s="26"/>
      <x:c r="B29" s="26"/>
      <x:c r="C29" s="26"/>
      <x:c r="D29" s="26"/>
      <x:c r="E29" s="26"/>
      <x:c r="F29" s="26"/>
      <x:c r="G29" s="26"/>
      <x:c r="H29" s="26"/>
    </x:row>
    <x:row r="30">
      <x:c r="A30" s="26"/>
      <x:c r="B30" s="26"/>
      <x:c r="C30" s="26"/>
      <x:c r="D30" s="26"/>
      <x:c r="E30" s="26"/>
      <x:c r="F30" s="26"/>
      <x:c r="G30" s="26"/>
      <x:c r="H30" s="26"/>
    </x:row>
    <x:row r="31">
      <x:c r="A31" s="26"/>
      <x:c r="B31" s="26"/>
      <x:c r="C31" s="26"/>
      <x:c r="D31" s="26"/>
      <x:c r="E31" s="26"/>
      <x:c r="F31" s="26"/>
      <x:c r="G31" s="26"/>
      <x:c r="H31" s="26"/>
    </x:row>
    <x:row r="32">
      <x:c r="A32" s="26"/>
      <x:c r="B32" s="26"/>
      <x:c r="C32" s="26"/>
      <x:c r="D32" s="26"/>
      <x:c r="E32" s="26"/>
      <x:c r="F32" s="26"/>
      <x:c r="G32" s="26"/>
      <x:c r="H32" s="26"/>
    </x:row>
    <x:row r="33">
      <x:c r="A33" s="26"/>
      <x:c r="B33" s="26"/>
      <x:c r="C33" s="26"/>
      <x:c r="D33" s="26"/>
      <x:c r="E33" s="26"/>
      <x:c r="F33" s="26"/>
      <x:c r="G33" s="26"/>
      <x:c r="H33" s="26"/>
    </x:row>
    <x:row r="34">
      <x:c r="A34" s="26"/>
      <x:c r="B34" s="26"/>
      <x:c r="C34" s="26"/>
      <x:c r="D34" s="26"/>
      <x:c r="E34" s="26"/>
      <x:c r="F34" s="26"/>
      <x:c r="G34" s="26"/>
      <x:c r="H34" s="26"/>
    </x:row>
    <x:row r="35">
      <x:c r="A35" s="26"/>
      <x:c r="B35" s="26"/>
      <x:c r="C35" s="26"/>
      <x:c r="D35" s="26"/>
      <x:c r="E35" s="26"/>
      <x:c r="F35" s="26"/>
      <x:c r="G35" s="26"/>
      <x:c r="H35" s="26"/>
    </x:row>
    <x:row r="36">
      <x:c r="A36" s="26"/>
      <x:c r="B36" s="26"/>
      <x:c r="C36" s="26"/>
      <x:c r="D36" s="26"/>
      <x:c r="E36" s="26"/>
      <x:c r="F36" s="26"/>
      <x:c r="G36" s="26"/>
      <x:c r="H36" s="26"/>
    </x:row>
    <x:row r="37">
      <x:c r="A37" s="26"/>
      <x:c r="B37" s="26"/>
      <x:c r="C37" s="26"/>
      <x:c r="D37" s="26"/>
      <x:c r="E37" s="26"/>
      <x:c r="F37" s="26"/>
      <x:c r="G37" s="26"/>
      <x:c r="H37" s="26"/>
    </x:row>
    <x:row r="38">
      <x:c r="A38" s="26"/>
      <x:c r="B38" s="26"/>
      <x:c r="C38" s="26"/>
      <x:c r="D38" s="26"/>
      <x:c r="E38" s="26"/>
      <x:c r="F38" s="26"/>
      <x:c r="G38" s="26"/>
      <x:c r="H38" s="26"/>
    </x:row>
    <x:row r="39">
      <x:c r="A39" s="26"/>
      <x:c r="B39" s="26"/>
      <x:c r="C39" s="26"/>
      <x:c r="D39" s="26"/>
      <x:c r="E39" s="26"/>
      <x:c r="F39" s="26"/>
      <x:c r="G39" s="26"/>
      <x:c r="H39" s="26"/>
    </x:row>
    <x:row r="40">
      <x:c r="A40" s="26"/>
      <x:c r="B40" s="26"/>
      <x:c r="C40" s="26"/>
      <x:c r="D40" s="26"/>
      <x:c r="E40" s="26"/>
      <x:c r="F40" s="26"/>
      <x:c r="G40" s="26"/>
      <x:c r="H40" s="26"/>
    </x:row>
  </x:sheetData>
  <x:mergeCells>
    <x:mergeCell ref="A1:H1"/>
    <x:mergeCell ref="A23:H25"/>
  </x:mergeCells>
  <x:pageMargins left="0.7" right="0.7" top="0.75" bottom="0.75" header="0.3" footer="0.3"/>
</x:worksheet>
</file>